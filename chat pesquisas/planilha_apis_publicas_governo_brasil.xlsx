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b0f51a415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d3c15a9c08e4b70"/>
    <x:sheet xmlns:r="http://schemas.openxmlformats.org/officeDocument/2006/relationships" name="APIs_Governo" sheetId="2" r:id="R19790886d142448f"/>
    <x:sheet xmlns:r="http://schemas.openxmlformats.org/officeDocument/2006/relationships" name="Portais_Catalogos" sheetId="3" r:id="Rbcd5241f0cb5458c"/>
    <x:sheet xmlns:r="http://schemas.openxmlformats.org/officeDocument/2006/relationships" name="Roadmap" sheetId="4" r:id="Rbe377967abba4f1d"/>
    <x:sheet xmlns:r="http://schemas.openxmlformats.org/officeDocument/2006/relationships" name="Campos" sheetId="5" r:id="Rd08b777d7988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1182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ECACA"/>
        </x:patternFill>
      </x:fill>
    </x:dxf>
    <x:dxf>
      <x:font>
        <x:b/>
      </x:font>
      <x:fill>
        <x:patternFill patternType="solid">
          <x:bgColor rgb="FEF3C7"/>
        </x:patternFill>
      </x:fill>
    </x:dxf>
    <x:dxf>
      <x:fill>
        <x:patternFill patternType="solid">
          <x:bgColor rgb="FFE4E6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947bd266c434f" /><Relationship Type="http://schemas.openxmlformats.org/officeDocument/2006/relationships/theme" Target="/xl/theme/theme1.xml" Id="Rf7f89ea68bd346af" /><Relationship Type="http://schemas.openxmlformats.org/officeDocument/2006/relationships/sharedStrings" Target="/xl/sharedStrings.xml" Id="Rdb96cd8823fc4e1b" /><Relationship Type="http://schemas.openxmlformats.org/officeDocument/2006/relationships/worksheet" Target="/xl/worksheets/sheet1.xml" Id="R1d3c15a9c08e4b70" /><Relationship Type="http://schemas.openxmlformats.org/officeDocument/2006/relationships/worksheet" Target="/xl/worksheets/sheet2.xml" Id="R19790886d142448f" /><Relationship Type="http://schemas.openxmlformats.org/officeDocument/2006/relationships/worksheet" Target="/xl/worksheets/sheet3.xml" Id="Rbcd5241f0cb5458c" /><Relationship Type="http://schemas.openxmlformats.org/officeDocument/2006/relationships/worksheet" Target="/xl/worksheets/sheet4.xml" Id="Rbe377967abba4f1d" /><Relationship Type="http://schemas.openxmlformats.org/officeDocument/2006/relationships/worksheet" Target="/xl/worksheets/sheet5.xml" Id="Rd08b777d79884e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d628260e074b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Categorias com mais fontes mapeadas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Qtde</c:v>
          </c:tx>
          <c:cat>
            <c:strRef>
              <c:f>'Dashboard'!$A$13:$A$32</c:f>
              <c:strCache>
                <c:ptCount val="0"/>
              </c:strCache>
            </c:strRef>
          </c:cat>
          <c:val>
            <c:numRef>
              <c:f>'Dashboard'!$B$13:$B$32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d628260e074b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APIsGoverno" displayName="TabelaAPIsGoverno" ref="A1:M127" headerRowCount="1">
  <x:tableColumns count="13">
    <x:tableColumn id="1" name="ID"/>
    <x:tableColumn id="2" name="Nível"/>
    <x:tableColumn id="3" name="Categoria"/>
    <x:tableColumn id="4" name="Nome da API/Base"/>
    <x:tableColumn id="5" name="Órgão/Fonte"/>
    <x:tableColumn id="6" name="Uso na plataforma"/>
    <x:tableColumn id="7" name="Tipo técnico"/>
    <x:tableColumn id="8" name="Acesso"/>
    <x:tableColumn id="9" name="Prioridade MVP"/>
    <x:tableColumn id="10" name="URL documentação/fonte"/>
    <x:tableColumn id="11" name="Endpoint/base URL"/>
    <x:tableColumn id="12" name="Observações"/>
    <x:tableColumn id="13" name="Status integra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PortaisCatalogos" displayName="TabelaPortaisCatalogos" ref="A1:H12" headerRowCount="1">
  <x:tableColumns count="8">
    <x:tableColumn id="1" name="ID"/>
    <x:tableColumn id="2" name="Tipo"/>
    <x:tableColumn id="3" name="Nome"/>
    <x:tableColumn id="4" name="Órgão/Fonte"/>
    <x:tableColumn id="5" name="URL"/>
    <x:tableColumn id="6" name="Endpoint de varredura"/>
    <x:tableColumn id="7" name="Como usar"/>
    <x:tableColumn id="8" name="Prioridade"/>
  </x:tableColumns>
  <x:tableStyleInfo name="TableStyleMedium2" showRowStripes="1"/>
</x:table>
</file>

<file path=xl/tables/table3.xml><?xml version="1.0" encoding="utf-8"?>
<x:table xmlns:x="http://schemas.openxmlformats.org/spreadsheetml/2006/main" id="3" name="TabelaRoadmap" displayName="TabelaRoadmap" ref="A1:G8" headerRowCount="1">
  <x:tableColumns count="7">
    <x:tableColumn id="1" name="Fase"/>
    <x:tableColumn id="2" name="Objetivo"/>
    <x:tableColumn id="3" name="Fontes/APIs"/>
    <x:tableColumn id="4" name="Entregável"/>
    <x:tableColumn id="5" name="Dificuldade"/>
    <x:tableColumn id="6" name="Impacto"/>
    <x:tableColumn id="7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Campos" displayName="TabelaCampos" ref="A1:C8" headerRowCount="1">
  <x:tableColumns count="3">
    <x:tableColumn id="1" name="Campo"/>
    <x:tableColumn id="2" name="Descrição"/>
    <x:tableColumn id="3" name="Valores sugerid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0fb0a5d87740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5e379d9cf245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71ea2fecd4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d068a298fa40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0adcbf60144a03" /></Relationships>
</file>

<file path=xl/worksheets/sheet1.xml><?xml version="1.0" encoding="utf-8"?>
<x:worksheet xmlns:x="http://schemas.openxmlformats.org/spreadsheetml/2006/main">
  <x:sheetFormatPr defaultRowHeight="15"/>
  <x:cols>
    <x:col min="5" max="5" width="32" hidden="0" customWidth="1"/>
    <x:col min="6" max="6" width="22" hidden="0" customWidth="1"/>
    <x:col min="7" max="7" width="46" hidden="0" customWidth="1"/>
    <x:col min="8" max="8" width="18" hidden="0" customWidth="1"/>
    <x:col min="1" max="1" width="30" hidden="0" customWidth="1"/>
    <x:col min="2" max="2" width="14" hidden="0" customWidth="1"/>
    <x:col min="3" max="3" width="36" hidden="0" customWidth="1"/>
    <x:col min="4" max="4" width="4" hidden="0" customWidth="1"/>
  </x:cols>
  <x:sheetData>
    <x:row r="1" ht="28" customHeight="1">
      <x:c r="A1" s="42" t="str">
        <x:v>Radar de APIs Públicas do Governo - Dashboard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>
      <x:c r="A3" s="14" t="str">
        <x:v>Métrica</x:v>
      </x:c>
      <x:c r="B3" s="14" t="str">
        <x:v>Valor</x:v>
      </x:c>
      <x:c r="C3" s="14" t="str">
        <x:v>Fórmula/critério</x:v>
      </x:c>
      <x:c r="D3" s="43"/>
      <x:c r="E3" s="14" t="str">
        <x:v>Primeiras integrações recomendadas</x:v>
      </x:c>
      <x:c r="F3" s="14" t="str">
        <x:v>Fonte</x:v>
      </x:c>
      <x:c r="G3" s="14" t="str">
        <x:v>Motivo</x:v>
      </x:c>
      <x:c r="H3" s="14" t="str">
        <x:v>Status</x:v>
      </x:c>
      <x:c r="I3" s="43"/>
      <x:c r="J3" s="43"/>
      <x:c r="K3" s="43"/>
      <x:c r="L3" s="43"/>
      <x:c r="M3" s="43"/>
    </x:row>
    <x:row r="4">
      <x:c r="A4" s="44" t="str">
        <x:v>Total de fontes mapeadas</x:v>
      </x:c>
      <x:c r="B4" s="45" t="n">
        <x:f>COUNTA(APIs_Governo!A2:A127)</x:f>
        <x:v>126</x:v>
      </x:c>
      <x:c r="C4" s="15" t="str">
        <x:v>Linhas na aba APIs_Governo</x:v>
      </x:c>
      <x:c r="D4" s="43"/>
      <x:c r="E4" s="15" t="str">
        <x:v>CNPJ Receita Federal</x:v>
      </x:c>
      <x:c r="F4" s="15" t="str">
        <x:v>Receita Federal</x:v>
      </x:c>
      <x:c r="G4" s="15" t="str">
        <x:v>Base-mãe de empresas e CNAE</x:v>
      </x:c>
      <x:c r="H4" s="15" t="str">
        <x:v>Prioridade 1</x:v>
      </x:c>
      <x:c r="I4" s="43"/>
      <x:c r="J4" s="43"/>
      <x:c r="K4" s="43"/>
      <x:c r="L4" s="43"/>
      <x:c r="M4" s="43"/>
    </x:row>
    <x:row r="5">
      <x:c r="A5" s="44" t="str">
        <x:v>Prioridade crítica</x:v>
      </x:c>
      <x:c r="B5" s="45" t="n">
        <x:f>COUNTIF(APIs_Governo!I2:I127,"Crítica")</x:f>
        <x:v>7</x:v>
      </x:c>
      <x:c r="C5" s="15" t="str">
        <x:v>Implantar primeiro</x:v>
      </x:c>
      <x:c r="D5" s="43"/>
      <x:c r="E5" s="15" t="str">
        <x:v>PNCP</x:v>
      </x:c>
      <x:c r="F5" s="15" t="str">
        <x:v>Governo Federal</x:v>
      </x:c>
      <x:c r="G5" s="15" t="str">
        <x:v>Editais, contratos e oportunidades</x:v>
      </x:c>
      <x:c r="H5" s="15" t="str">
        <x:v>Prioridade 1</x:v>
      </x:c>
      <x:c r="I5" s="43"/>
      <x:c r="J5" s="43"/>
      <x:c r="K5" s="43"/>
      <x:c r="L5" s="43"/>
      <x:c r="M5" s="43"/>
    </x:row>
    <x:row r="6">
      <x:c r="A6" s="44" t="str">
        <x:v>Prioridade alta</x:v>
      </x:c>
      <x:c r="B6" s="45" t="n">
        <x:f>COUNTIF(APIs_Governo!I2:I127,"Alta")</x:f>
        <x:v>25</x:v>
      </x:c>
      <x:c r="C6" s="15" t="str">
        <x:v>Segundo bloco</x:v>
      </x:c>
      <x:c r="D6" s="43"/>
      <x:c r="E6" s="15" t="str">
        <x:v>Compras.gov.br</x:v>
      </x:c>
      <x:c r="F6" s="15" t="str">
        <x:v>MGI</x:v>
      </x:c>
      <x:c r="G6" s="15" t="str">
        <x:v>Preços e histórico de compras</x:v>
      </x:c>
      <x:c r="H6" s="15" t="str">
        <x:v>Prioridade 1</x:v>
      </x:c>
      <x:c r="I6" s="43"/>
      <x:c r="J6" s="43"/>
      <x:c r="K6" s="43"/>
      <x:c r="L6" s="43"/>
      <x:c r="M6" s="43"/>
    </x:row>
    <x:row r="7">
      <x:c r="A7" s="44" t="str">
        <x:v>Acesso aberto/aberto parcial</x:v>
      </x:c>
      <x:c r="B7" s="45" t="n">
        <x:f>COUNTIF(APIs_Governo!H2:H127,"Aberto")+COUNTIF(APIs_Governo!H2:H127,"Aberto para consulta")+COUNTIF(APIs_Governo!H2:H127,"Token/aberto conforme uso")+COUNTIF(APIs_Governo!H2:H127,"Token gratuito/API Key")+COUNTIF(APIs_Governo!H2:H127,"Token/API Key pública")+COUNTIF(APIs_Governo!H2:H127,"Aberto/download")+COUNTIF(APIs_Governo!H2:H127,"Aberto/restrito parcial")+COUNTIF(APIs_Governo!H2:H127,"Aberto/freemium")</x:f>
        <x:v>54</x:v>
      </x:c>
      <x:c r="C7" s="15" t="str">
        <x:v>Acesso sem convênio pesado ou aberto parcial</x:v>
      </x:c>
      <x:c r="D7" s="43"/>
      <x:c r="E7" s="15" t="str">
        <x:v>Portal da Transparência</x:v>
      </x:c>
      <x:c r="F7" s="15" t="str">
        <x:v>CGU</x:v>
      </x:c>
      <x:c r="G7" s="15" t="str">
        <x:v>Sanções, gastos, servidores e benefícios</x:v>
      </x:c>
      <x:c r="H7" s="15" t="str">
        <x:v>Prioridade 1</x:v>
      </x:c>
      <x:c r="I7" s="43"/>
      <x:c r="J7" s="43"/>
      <x:c r="K7" s="43"/>
      <x:c r="L7" s="43"/>
      <x:c r="M7" s="43"/>
    </x:row>
    <x:row r="8">
      <x:c r="A8" s="44" t="str">
        <x:v>Restrito/credencial</x:v>
      </x:c>
      <x:c r="B8" s="45" t="n">
        <x:f>COUNTIF(APIs_Governo!H2:H127,"Restrito/credencial")+COUNTIF(APIs_Governo!H2:H127,"SOAP/API")</x:f>
        <x:v>71</x:v>
      </x:c>
      <x:c r="C8" s="15" t="str">
        <x:v>Exige validação jurídica/técnica</x:v>
      </x:c>
      <x:c r="D8" s="43"/>
      <x:c r="E8" s="15" t="str">
        <x:v>DataJud</x:v>
      </x:c>
      <x:c r="F8" s="15" t="str">
        <x:v>CNJ</x:v>
      </x:c>
      <x:c r="G8" s="15" t="str">
        <x:v>Risco judicial por empresa/processos públicos</x:v>
      </x:c>
      <x:c r="H8" s="15" t="str">
        <x:v>Prioridade 2</x:v>
      </x:c>
      <x:c r="I8" s="43"/>
      <x:c r="J8" s="43"/>
      <x:c r="K8" s="43"/>
      <x:c r="L8" s="43"/>
      <x:c r="M8" s="43"/>
    </x:row>
    <x:row r="9">
      <x:c r="A9" s="44" t="str">
        <x:v>Backlog atual</x:v>
      </x:c>
      <x:c r="B9" s="45" t="n">
        <x:f>COUNTIF(APIs_Governo!M2:M127,"Backlog")</x:f>
        <x:v>126</x:v>
      </x:c>
      <x:c r="C9" s="15" t="str">
        <x:v>Status inicial</x:v>
      </x:c>
      <x:c r="D9" s="43"/>
      <x:c r="E9" s="15" t="str">
        <x:v>IBGE</x:v>
      </x:c>
      <x:c r="F9" s="15" t="str">
        <x:v>IBGE</x:v>
      </x:c>
      <x:c r="G9" s="15" t="str">
        <x:v>Território, município, CNAE e indicadores</x:v>
      </x:c>
      <x:c r="H9" s="15" t="str">
        <x:v>Prioridade 2</x:v>
      </x:c>
      <x:c r="I9" s="43"/>
      <x:c r="J9" s="43"/>
      <x:c r="K9" s="43"/>
      <x:c r="L9" s="43"/>
      <x:c r="M9" s="43"/>
    </x:row>
    <x:row r="10">
      <x:c r="A10" s="43"/>
      <x:c r="B10" s="43"/>
      <x:c r="C10" s="43"/>
      <x:c r="D10" s="43"/>
      <x:c r="E10" s="15" t="str">
        <x:v>Bacen</x:v>
      </x:c>
      <x:c r="F10" s="15" t="str">
        <x:v>BCB</x:v>
      </x:c>
      <x:c r="G10" s="15" t="str">
        <x:v>Indicadores econômicos e financeiros</x:v>
      </x:c>
      <x:c r="H10" s="15" t="str">
        <x:v>Prioridade 2</x:v>
      </x:c>
      <x:c r="I10" s="43"/>
      <x:c r="J10" s="43"/>
      <x:c r="K10" s="43"/>
      <x:c r="L10" s="43"/>
      <x:c r="M10" s="43"/>
    </x:row>
    <x:row r="11">
      <x:c r="A11" s="43"/>
      <x:c r="B11" s="43"/>
      <x:c r="C11" s="43"/>
      <x:c r="D11" s="43"/>
      <x:c r="E11" s="15" t="str">
        <x:v>CKANs estaduais/municipais</x:v>
      </x:c>
      <x:c r="F11" s="15" t="str">
        <x:v>SP/RJ/Recife etc.</x:v>
      </x:c>
      <x:c r="G11" s="15" t="str">
        <x:v>Licitações locais e dados regionais</x:v>
      </x:c>
      <x:c r="H11" s="15" t="str">
        <x:v>Prioridade 3</x:v>
      </x:c>
      <x:c r="I11" s="43"/>
      <x:c r="J11" s="43"/>
      <x:c r="K11" s="43"/>
      <x:c r="L11" s="43"/>
      <x:c r="M11" s="43"/>
    </x:row>
    <x:row r="12">
      <x:c r="A12" s="14" t="str">
        <x:v>Categoria</x:v>
      </x:c>
      <x:c r="B12" s="14" t="str">
        <x:v>Qtde</x:v>
      </x:c>
      <x:c r="C12" s="14" t="str">
        <x:v>Prioridade média visual</x:v>
      </x:c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</x:row>
    <x:row r="13">
      <x:c r="A13" s="15" t="str">
        <x:v>Acessibilidade</x:v>
      </x:c>
      <x:c r="B13" s="15" t="n">
        <x:f>COUNTIF(APIs_Governo!C:C,A13)</x:f>
        <x:v>1</x:v>
      </x:c>
      <x:c r="C13" s="15" t="str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</x:row>
    <x:row r="14">
      <x:c r="A14" s="15" t="str">
        <x:v>Administração pública</x:v>
      </x:c>
      <x:c r="B14" s="15" t="n">
        <x:f>COUNTIF(APIs_Governo!C:C,A14)</x:f>
        <x:v>1</x:v>
      </x:c>
      <x:c r="C14" s="15" t="str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5" t="str">
        <x:v>Agregador</x:v>
      </x:c>
      <x:c r="B15" s="15" t="n">
        <x:f>COUNTIF(APIs_Governo!C:C,A15)</x:f>
        <x:v>3</x:v>
      </x:c>
      <x:c r="C15" s="15" t="str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</x:row>
    <x:row r="16">
      <x:c r="A16" s="15" t="str">
        <x:v>Agro</x:v>
      </x:c>
      <x:c r="B16" s="15" t="n">
        <x:f>COUNTIF(APIs_Governo!C:C,A16)</x:f>
        <x:v>4</x:v>
      </x:c>
      <x:c r="C16" s="15" t="str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</x:row>
    <x:row r="17">
      <x:c r="A17" s="15" t="str">
        <x:v>Ambiental</x:v>
      </x:c>
      <x:c r="B17" s="15" t="n">
        <x:f>COUNTIF(APIs_Governo!C:C,A17)</x:f>
        <x:v>1</x:v>
      </x:c>
      <x:c r="C17" s="15" t="str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</x:row>
    <x:row r="18">
      <x:c r="A18" s="15" t="str">
        <x:v>Ambiental/Rural</x:v>
      </x:c>
      <x:c r="B18" s="15" t="n">
        <x:f>COUNTIF(APIs_Governo!C:C,A18)</x:f>
        <x:v>4</x:v>
      </x:c>
      <x:c r="C18" s="15" t="str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</x:row>
    <x:row r="19">
      <x:c r="A19" s="15" t="str">
        <x:v>Assistência social</x:v>
      </x:c>
      <x:c r="B19" s="15" t="n">
        <x:f>COUNTIF(APIs_Governo!C:C,A19)</x:f>
        <x:v>5</x:v>
      </x:c>
      <x:c r="C19" s="15" t="str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</x:row>
    <x:row r="20">
      <x:c r="A20" s="15" t="str">
        <x:v>Catálogo</x:v>
      </x:c>
      <x:c r="B20" s="15" t="n">
        <x:f>COUNTIF(APIs_Governo!C:C,A20)</x:f>
        <x:v>2</x:v>
      </x:c>
      <x:c r="C20" s="15" t="str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  <x:row r="21">
      <x:c r="A21" s="15" t="str">
        <x:v>Cidadão</x:v>
      </x:c>
      <x:c r="B21" s="15" t="n">
        <x:f>COUNTIF(APIs_Governo!C:C,A21)</x:f>
        <x:v>1</x:v>
      </x:c>
      <x:c r="C21" s="15" t="str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</x:row>
    <x:row r="22">
      <x:c r="A22" s="15" t="str">
        <x:v>Compras públicas</x:v>
      </x:c>
      <x:c r="B22" s="15" t="n">
        <x:f>COUNTIF(APIs_Governo!C:C,A22)</x:f>
        <x:v>2</x:v>
      </x:c>
      <x:c r="C22" s="15" t="str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</x:row>
    <x:row r="23">
      <x:c r="A23" s="15" t="str">
        <x:v>Concorrência</x:v>
      </x:c>
      <x:c r="B23" s="15" t="n">
        <x:f>COUNTIF(APIs_Governo!C:C,A23)</x:f>
        <x:v>4</x:v>
      </x:c>
      <x:c r="C23" s="15" t="str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</x:row>
    <x:row r="24">
      <x:c r="A24" s="15" t="str">
        <x:v>Conflitos agrários</x:v>
      </x:c>
      <x:c r="B24" s="15" t="n">
        <x:f>COUNTIF(APIs_Governo!C:C,A24)</x:f>
        <x:v>1</x:v>
      </x:c>
      <x:c r="C24" s="15" t="str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</x:row>
    <x:row r="25">
      <x:c r="A25" s="15" t="str">
        <x:v>Contas públicas</x:v>
      </x:c>
      <x:c r="B25" s="15" t="n">
        <x:f>COUNTIF(APIs_Governo!C:C,A25)</x:f>
        <x:v>1</x:v>
      </x:c>
      <x:c r="C25" s="15" t="str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</x:row>
    <x:row r="26">
      <x:c r="A26" s="15" t="str">
        <x:v>Controle</x:v>
      </x:c>
      <x:c r="B26" s="15" t="n">
        <x:f>COUNTIF(APIs_Governo!C:C,A26)</x:f>
        <x:v>1</x:v>
      </x:c>
      <x:c r="C26" s="15" t="str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</x:row>
    <x:row r="27">
      <x:c r="A27" s="15" t="str">
        <x:v>Criança/adolescente</x:v>
      </x:c>
      <x:c r="B27" s="15" t="n">
        <x:f>COUNTIF(APIs_Governo!C:C,A27)</x:f>
        <x:v>1</x:v>
      </x:c>
      <x:c r="C27" s="15" t="str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</x:row>
    <x:row r="28">
      <x:c r="A28" s="15" t="str">
        <x:v>Dados tratados</x:v>
      </x:c>
      <x:c r="B28" s="15" t="n">
        <x:f>COUNTIF(APIs_Governo!C:C,A28)</x:f>
        <x:v>1</x:v>
      </x:c>
      <x:c r="C28" s="15" t="str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</x:row>
    <x:row r="29">
      <x:c r="A29" s="15" t="str">
        <x:v>Defesa</x:v>
      </x:c>
      <x:c r="B29" s="15" t="n">
        <x:f>COUNTIF(APIs_Governo!C:C,A29)</x:f>
        <x:v>1</x:v>
      </x:c>
      <x:c r="C29" s="15" t="str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</x:row>
    <x:row r="30">
      <x:c r="A30" s="15" t="str">
        <x:v>Diário Oficial</x:v>
      </x:c>
      <x:c r="B30" s="15" t="n">
        <x:f>COUNTIF(APIs_Governo!C:C,A30)</x:f>
        <x:v>1</x:v>
      </x:c>
      <x:c r="C30" s="15" t="str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</x:row>
    <x:row r="31">
      <x:c r="A31" s="15" t="str">
        <x:v>Dívida pública</x:v>
      </x:c>
      <x:c r="B31" s="15" t="n">
        <x:f>COUNTIF(APIs_Governo!C:C,A31)</x:f>
        <x:v>1</x:v>
      </x:c>
      <x:c r="C31" s="15" t="str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</x:row>
    <x:row r="32">
      <x:c r="A32" s="15" t="str">
        <x:v>Economia</x:v>
      </x:c>
      <x:c r="B32" s="15" t="n">
        <x:f>COUNTIF(APIs_Governo!C:C,A32)</x:f>
        <x:v>3</x:v>
      </x:c>
      <x:c r="C32" s="15" t="str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</x:row>
    <x:row r="33">
      <x:c r="A33" s="15" t="str">
        <x:v>Educação/Capacitação</x:v>
      </x:c>
      <x:c r="B33" s="15" t="n">
        <x:f>COUNTIF(APIs_Governo!C:C,A33)</x:f>
        <x:v>1</x:v>
      </x:c>
      <x:c r="C33" s="15" t="str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</x:row>
    <x:row r="34">
      <x:c r="A34" s="15" t="str">
        <x:v>Eleições</x:v>
      </x:c>
      <x:c r="B34" s="15" t="n">
        <x:f>COUNTIF(APIs_Governo!C:C,A34)</x:f>
        <x:v>1</x:v>
      </x:c>
      <x:c r="C34" s="15" t="str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</x:row>
    <x:row r="35" ht="42" customHeight="1">
      <x:c r="A35" s="38" t="str">
        <x:v>Nota: esta planilha é um mapa operacional. Para chegar perto de 'todas' as APIs públicas, implemente crawler nos catálogos CKAN/dados.gov.br e atualize automaticamente.</x:v>
      </x:c>
      <x:c r="B35" s="15" t="n">
        <x:f>COUNTIF(APIs_Governo!C:C,A35)</x:f>
        <x:v>0</x:v>
      </x:c>
      <x:c r="C35" s="15" t="str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</x:row>
    <x:row r="36">
      <x:c r="A36" s="15" t="str">
        <x:v>Endereço</x:v>
      </x:c>
      <x:c r="B36" s="15" t="n">
        <x:f>COUNTIF(APIs_Governo!C:C,A36)</x:f>
        <x:v>2</x:v>
      </x:c>
      <x:c r="C36" s="15" t="str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</x:row>
    <x:row r="37">
      <x:c r="A37" s="15" t="str">
        <x:v>Energia</x:v>
      </x:c>
      <x:c r="B37" s="15" t="n">
        <x:f>COUNTIF(APIs_Governo!C:C,A37)</x:f>
        <x:v>3</x:v>
      </x:c>
      <x:c r="C37" s="15" t="str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</x:row>
    <x:row r="38">
      <x:c r="A38" s="15" t="str">
        <x:v>Estatística</x:v>
      </x:c>
      <x:c r="B38" s="15" t="n">
        <x:f>COUNTIF(APIs_Governo!C:C,A38)</x:f>
        <x:v>1</x:v>
      </x:c>
      <x:c r="C38" s="15" t="str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</x:row>
    <x:row r="39">
      <x:c r="A39" s="15" t="str">
        <x:v>Financeiro</x:v>
      </x:c>
      <x:c r="B39" s="15" t="n">
        <x:f>COUNTIF(APIs_Governo!C:C,A39)</x:f>
        <x:v>1</x:v>
      </x:c>
      <x:c r="C39" s="15" t="str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</x:row>
    <x:row r="40">
      <x:c r="A40" s="15" t="str">
        <x:v>Financeiro público</x:v>
      </x:c>
      <x:c r="B40" s="15" t="n">
        <x:f>COUNTIF(APIs_Governo!C:C,A40)</x:f>
        <x:v>6</x:v>
      </x:c>
      <x:c r="C40" s="15" t="str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</x:row>
    <x:row r="41">
      <x:c r="A41" s="15" t="str">
        <x:v>Financiamento externo</x:v>
      </x:c>
      <x:c r="B41" s="15" t="n">
        <x:f>COUNTIF(APIs_Governo!C:C,A41)</x:f>
        <x:v>1</x:v>
      </x:c>
      <x:c r="C41" s="15" t="str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</x:row>
    <x:row r="42">
      <x:c r="A42" s="15" t="str">
        <x:v>Fiscal</x:v>
      </x:c>
      <x:c r="B42" s="15" t="n">
        <x:f>COUNTIF(APIs_Governo!C:C,A42)</x:f>
        <x:v>5</x:v>
      </x:c>
      <x:c r="C42" s="15" t="str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</x:row>
    <x:row r="43">
      <x:c r="A43" s="15" t="str">
        <x:v>Identidade</x:v>
      </x:c>
      <x:c r="B43" s="15" t="n">
        <x:f>COUNTIF(APIs_Governo!C:C,A43)</x:f>
        <x:v>3</x:v>
      </x:c>
      <x:c r="C43" s="15" t="str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</x:row>
    <x:row r="44">
      <x:c r="A44" s="15" t="str">
        <x:v>Justiça</x:v>
      </x:c>
      <x:c r="B44" s="15" t="n">
        <x:f>COUNTIF(APIs_Governo!C:C,A44)</x:f>
        <x:v>2</x:v>
      </x:c>
      <x:c r="C44" s="15" t="str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</x:row>
    <x:row r="45">
      <x:c r="A45" s="15" t="str">
        <x:v>Juventude</x:v>
      </x:c>
      <x:c r="B45" s="15" t="n">
        <x:f>COUNTIF(APIs_Governo!C:C,A45)</x:f>
        <x:v>1</x:v>
      </x:c>
      <x:c r="C45" s="15" t="str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</x:row>
    <x:row r="46">
      <x:c r="A46" s="15" t="str">
        <x:v>Legislativo</x:v>
      </x:c>
      <x:c r="B46" s="15" t="n">
        <x:f>COUNTIF(APIs_Governo!C:C,A46)</x:f>
        <x:v>2</x:v>
      </x:c>
      <x:c r="C46" s="15" t="str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</x:row>
    <x:row r="47">
      <x:c r="A47" s="15" t="str">
        <x:v>Meteorologia</x:v>
      </x:c>
      <x:c r="B47" s="15" t="n">
        <x:f>COUNTIF(APIs_Governo!C:C,A47)</x:f>
        <x:v>1</x:v>
      </x:c>
      <x:c r="C47" s="15" t="str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</x:row>
    <x:row r="48">
      <x:c r="A48" s="15" t="str">
        <x:v>Obras públicas</x:v>
      </x:c>
      <x:c r="B48" s="15" t="n">
        <x:f>COUNTIF(APIs_Governo!C:C,A48)</x:f>
        <x:v>1</x:v>
      </x:c>
      <x:c r="C48" s="15" t="str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</x:row>
    <x:row r="49">
      <x:c r="A49" s="15" t="str">
        <x:v>Orçamento</x:v>
      </x:c>
      <x:c r="B49" s="15" t="n">
        <x:f>COUNTIF(APIs_Governo!C:C,A49)</x:f>
        <x:v>11</x:v>
      </x:c>
      <x:c r="C49" s="15" t="str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</x:row>
    <x:row r="50">
      <x:c r="A50" s="15" t="str">
        <x:v>Ouvidoria</x:v>
      </x:c>
      <x:c r="B50" s="15" t="n">
        <x:f>COUNTIF(APIs_Governo!C:C,A50)</x:f>
        <x:v>1</x:v>
      </x:c>
      <x:c r="C50" s="15" t="str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</x:row>
    <x:row r="51">
      <x:c r="A51" s="15" t="str">
        <x:v>Pagamentos</x:v>
      </x:c>
      <x:c r="B51" s="15" t="n">
        <x:f>COUNTIF(APIs_Governo!C:C,A51)</x:f>
        <x:v>2</x:v>
      </x:c>
      <x:c r="C51" s="15" t="str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</x:row>
    <x:row r="52">
      <x:c r="A52" s="15" t="str">
        <x:v>Pessoa com deficiência</x:v>
      </x:c>
      <x:c r="B52" s="15" t="n">
        <x:f>COUNTIF(APIs_Governo!C:C,A52)</x:f>
        <x:v>1</x:v>
      </x:c>
      <x:c r="C52" s="15" t="str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</x:row>
    <x:row r="53">
      <x:c r="A53" s="15" t="str">
        <x:v>Petróleo/Gás</x:v>
      </x:c>
      <x:c r="B53" s="15" t="n">
        <x:f>COUNTIF(APIs_Governo!C:C,A53)</x:f>
        <x:v>1</x:v>
      </x:c>
      <x:c r="C53" s="15" t="str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</x:row>
    <x:row r="54">
      <x:c r="A54" s="15" t="str">
        <x:v>Portal CKAN</x:v>
      </x:c>
      <x:c r="B54" s="15" t="n">
        <x:f>COUNTIF(APIs_Governo!C:C,A54)</x:f>
        <x:v>4</x:v>
      </x:c>
      <x:c r="C54" s="15" t="str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</x:row>
    <x:row r="55">
      <x:c r="A55" s="15" t="str">
        <x:v>Portal de dados</x:v>
      </x:c>
      <x:c r="B55" s="15" t="n">
        <x:f>COUNTIF(APIs_Governo!C:C,A55)</x:f>
        <x:v>4</x:v>
      </x:c>
      <x:c r="C55" s="15" t="str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</x:row>
    <x:row r="56">
      <x:c r="A56" s="15" t="str">
        <x:v>Previdência</x:v>
      </x:c>
      <x:c r="B56" s="15" t="n">
        <x:f>COUNTIF(APIs_Governo!C:C,A56)</x:f>
        <x:v>1</x:v>
      </x:c>
      <x:c r="C56" s="15" t="str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</x:row>
    <x:row r="57">
      <x:c r="A57" s="15" t="str">
        <x:v>Previdência pública</x:v>
      </x:c>
      <x:c r="B57" s="15" t="n">
        <x:f>COUNTIF(APIs_Governo!C:C,A57)</x:f>
        <x:v>1</x:v>
      </x:c>
      <x:c r="C57" s="15" t="str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</x:row>
    <x:row r="58">
      <x:c r="A58" s="15" t="str">
        <x:v>Referência</x:v>
      </x:c>
      <x:c r="B58" s="15" t="n">
        <x:f>COUNTIF(APIs_Governo!C:C,A58)</x:f>
        <x:v>3</x:v>
      </x:c>
      <x:c r="C58" s="15" t="str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</x:row>
    <x:row r="59">
      <x:c r="A59" s="15" t="str">
        <x:v>Rural/Fundiário</x:v>
      </x:c>
      <x:c r="B59" s="15" t="n">
        <x:f>COUNTIF(APIs_Governo!C:C,A59)</x:f>
        <x:v>4</x:v>
      </x:c>
      <x:c r="C59" s="15" t="str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</x:row>
    <x:row r="60">
      <x:c r="A60" s="15" t="str">
        <x:v>Saúde</x:v>
      </x:c>
      <x:c r="B60" s="15" t="n">
        <x:f>COUNTIF(APIs_Governo!C:C,A60)</x:f>
        <x:v>6</x:v>
      </x:c>
      <x:c r="C60" s="15" t="str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</x:row>
    <x:row r="61">
      <x:c r="A61" s="15" t="str">
        <x:v>Saúde suplementar</x:v>
      </x:c>
      <x:c r="B61" s="15" t="n">
        <x:f>COUNTIF(APIs_Governo!C:C,A61)</x:f>
        <x:v>1</x:v>
      </x:c>
      <x:c r="C61" s="15" t="str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</x:row>
    <x:row r="62">
      <x:c r="A62" s="15" t="str">
        <x:v>Segurança</x:v>
      </x:c>
      <x:c r="B62" s="15" t="n">
        <x:f>COUNTIF(APIs_Governo!C:C,A62)</x:f>
        <x:v>1</x:v>
      </x:c>
      <x:c r="C62" s="15" t="str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</x:row>
    <x:row r="63">
      <x:c r="A63" s="15" t="str">
        <x:v>Servidores</x:v>
      </x:c>
      <x:c r="B63" s="15" t="n">
        <x:f>COUNTIF(APIs_Governo!C:C,A63)</x:f>
        <x:v>2</x:v>
      </x:c>
      <x:c r="C63" s="15" t="str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</x:row>
    <x:row r="64">
      <x:c r="A64" s="15" t="str">
        <x:v>Serviços públicos</x:v>
      </x:c>
      <x:c r="B64" s="15" t="n">
        <x:f>COUNTIF(APIs_Governo!C:C,A64)</x:f>
        <x:v>4</x:v>
      </x:c>
      <x:c r="C64" s="15" t="str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</x:row>
    <x:row r="65">
      <x:c r="A65" s="15" t="str">
        <x:v>Telecom</x:v>
      </x:c>
      <x:c r="B65" s="15" t="n">
        <x:f>COUNTIF(APIs_Governo!C:C,A65)</x:f>
        <x:v>1</x:v>
      </x:c>
      <x:c r="C65" s="15" t="str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</x:row>
    <x:row r="66">
      <x:c r="A66" s="15" t="str">
        <x:v>Transparência</x:v>
      </x:c>
      <x:c r="B66" s="15" t="n">
        <x:f>COUNTIF(APIs_Governo!C:C,A66)</x:f>
        <x:v>1</x:v>
      </x:c>
      <x:c r="C66" s="15" t="str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</x:row>
    <x:row r="67">
      <x:c r="A67" s="15" t="str">
        <x:v>Transporte</x:v>
      </x:c>
      <x:c r="B67" s="15" t="n">
        <x:f>COUNTIF(APIs_Governo!C:C,A67)</x:f>
        <x:v>1</x:v>
      </x:c>
      <x:c r="C67" s="15" t="str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</x:row>
    <x:row r="68">
      <x:c r="A68" s="15" t="str">
        <x:v>Trânsito</x:v>
      </x:c>
      <x:c r="B68" s="15" t="n">
        <x:f>COUNTIF(APIs_Governo!C:C,A68)</x:f>
        <x:v>1</x:v>
      </x:c>
      <x:c r="C68" s="15" t="str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</x:row>
    <x:row r="69">
      <x:c r="A69" s="15" t="str">
        <x:v>Turismo</x:v>
      </x:c>
      <x:c r="B69" s="15" t="n">
        <x:f>COUNTIF(APIs_Governo!C:C,A69)</x:f>
        <x:v>1</x:v>
      </x:c>
      <x:c r="C69" s="15" t="str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</x:row>
    <x:row r="70">
      <x:c r="A70" s="15" t="str">
        <x:v>Wrapper</x:v>
      </x:c>
      <x:c r="B70" s="15" t="n">
        <x:f>COUNTIF(APIs_Governo!C:C,A70)</x:f>
        <x:v>1</x:v>
      </x:c>
      <x:c r="C70" s="15" t="str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</x:row>
    <x:row r="71">
      <x:c r="A71" s="15" t="str">
        <x:v>Água/Clima</x:v>
      </x:c>
      <x:c r="B71" s="15" t="n">
        <x:f>COUNTIF(APIs_Governo!C:C,A71)</x:f>
        <x:v>1</x:v>
      </x:c>
      <x:c r="C71" s="15" t="str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</x:row>
    <x:row r="72">
      <x:c r="A72" s="15"/>
      <x:c r="B72" s="15"/>
      <x:c r="C72" s="15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</x:row>
    <x:row r="20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</x:row>
    <x:row r="202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</x:row>
    <x:row r="203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</x:row>
    <x:row r="204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</x:row>
    <x:row r="205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</x:row>
    <x:row r="206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</x:row>
    <x:row r="207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</x:row>
    <x:row r="208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</x:row>
    <x:row r="209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</x:row>
    <x:row r="210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</x:row>
    <x:row r="21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</x:row>
    <x:row r="212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</x:row>
    <x:row r="213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</x:row>
    <x:row r="214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</x:row>
    <x:row r="215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</x:row>
    <x:row r="216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</x:row>
    <x:row r="217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</x:row>
    <x:row r="218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</x:row>
    <x:row r="219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</x:row>
    <x:row r="220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</x:row>
    <x:row r="22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</x:row>
    <x:row r="222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</x:row>
    <x:row r="223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</x:row>
    <x:row r="224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</x:row>
    <x:row r="225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</x:row>
    <x:row r="226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</x:row>
    <x:row r="227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</x:row>
    <x:row r="228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</x:row>
    <x:row r="229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</x:row>
    <x:row r="230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</x:row>
    <x:row r="23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</x:row>
    <x:row r="232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</x:row>
    <x:row r="233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</x:row>
    <x:row r="234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</x:row>
    <x:row r="235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</x:row>
    <x:row r="236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</x:row>
    <x:row r="237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</x:row>
    <x:row r="238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</x:row>
    <x:row r="239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</x:row>
    <x:row r="240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</x:row>
    <x:row r="24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</x:row>
    <x:row r="242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</x:row>
    <x:row r="243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</x:row>
    <x:row r="244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</x:row>
    <x:row r="245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</x:row>
    <x:row r="246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</x:row>
    <x:row r="247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</x:row>
    <x:row r="248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</x:row>
    <x:row r="249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</x:row>
    <x:row r="250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</x:row>
    <x:row r="25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</x:row>
    <x:row r="252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</x:row>
    <x:row r="253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</x:row>
    <x:row r="254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</x:row>
    <x:row r="255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</x:row>
    <x:row r="256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</x:row>
    <x:row r="257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</x:row>
    <x:row r="258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</x:row>
    <x:row r="259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</x:row>
    <x:row r="260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</x:row>
    <x:row r="26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</x:row>
    <x:row r="262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</x:row>
    <x:row r="263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</x:row>
    <x:row r="264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</x:row>
    <x:row r="265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</x:row>
    <x:row r="266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</x:row>
    <x:row r="267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</x:row>
    <x:row r="268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</x:row>
    <x:row r="269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</x:row>
    <x:row r="270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</x:row>
    <x:row r="27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</x:row>
    <x:row r="272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</x:row>
    <x:row r="273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</x:row>
    <x:row r="274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</x:row>
    <x:row r="275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</x:row>
    <x:row r="276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</x:row>
    <x:row r="277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</x:row>
    <x:row r="278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</x:row>
    <x:row r="279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</x:row>
    <x:row r="280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</x:row>
    <x:row r="28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</x:row>
    <x:row r="282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</x:row>
    <x:row r="283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</x:row>
    <x:row r="284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</x:row>
    <x:row r="285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</x:row>
    <x:row r="286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</x:row>
    <x:row r="287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</x:row>
    <x:row r="288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</x:row>
    <x:row r="289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</x:row>
    <x:row r="290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</x:row>
    <x:row r="29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</x:row>
    <x:row r="292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</x:row>
    <x:row r="293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</x:row>
    <x:row r="294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</x:row>
    <x:row r="295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</x:row>
    <x:row r="296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</x:row>
    <x:row r="297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</x:row>
    <x:row r="298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</x:row>
    <x:row r="299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</x:row>
    <x:row r="300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</x:row>
  </x:sheetData>
  <x:mergeCells>
    <x:mergeCell ref="A1:H1"/>
    <x:mergeCell ref="A35:H35"/>
  </x:mergeCells>
  <x:conditionalFormatting sqref="B13:B71">
    <x:cfRule type="dataBar" priority="1">
      <x:dataBar>
        <x:cfvo type="min"/>
        <x:cfvo type="max"/>
        <x:color rgb="2563EB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90fb0a5d877402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2563EB"/>
            </x14:dataBar>
          </x14:cfRule>
          <xm:sqref>B13:B71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38" hidden="0" customWidth="1"/>
    <x:col min="5" max="5" width="28" hidden="0" customWidth="1"/>
    <x:col min="6" max="6" width="44" hidden="0" customWidth="1"/>
    <x:col min="7" max="7" width="18" hidden="0" customWidth="1"/>
    <x:col min="8" max="8" width="20" hidden="0" customWidth="1"/>
    <x:col min="9" max="9" width="16" hidden="0" customWidth="1"/>
    <x:col min="10" max="10" width="48" hidden="0" customWidth="1"/>
    <x:col min="11" max="11" width="48" hidden="0" customWidth="1"/>
    <x:col min="12" max="12" width="42" hidden="0" customWidth="1"/>
    <x:col min="13" max="13" width="18" hidden="0" customWidth="1"/>
  </x:cols>
  <x:sheetData>
    <x:row r="1">
      <x:c r="A1" s="14" t="str">
        <x:v>ID</x:v>
      </x:c>
      <x:c r="B1" s="14" t="str">
        <x:v>Nível</x:v>
      </x:c>
      <x:c r="C1" s="14" t="str">
        <x:v>Categoria</x:v>
      </x:c>
      <x:c r="D1" s="14" t="str">
        <x:v>Nome da API/Base</x:v>
      </x:c>
      <x:c r="E1" s="14" t="str">
        <x:v>Órgão/Fonte</x:v>
      </x:c>
      <x:c r="F1" s="14" t="str">
        <x:v>Uso na plataforma</x:v>
      </x:c>
      <x:c r="G1" s="14" t="str">
        <x:v>Tipo técnico</x:v>
      </x:c>
      <x:c r="H1" s="14" t="str">
        <x:v>Acesso</x:v>
      </x:c>
      <x:c r="I1" s="14" t="str">
        <x:v>Prioridade MVP</x:v>
      </x:c>
      <x:c r="J1" s="14" t="str">
        <x:v>URL documentação/fonte</x:v>
      </x:c>
      <x:c r="K1" s="14" t="str">
        <x:v>Endpoint/base URL</x:v>
      </x:c>
      <x:c r="L1" s="14" t="str">
        <x:v>Observações</x:v>
      </x:c>
      <x:c r="M1" s="14" t="str">
        <x:v>Status integração</x:v>
      </x:c>
    </x:row>
    <x:row r="2">
      <x:c r="A2" s="15" t="n">
        <x:v>1</x:v>
      </x:c>
      <x:c r="B2" s="15" t="str">
        <x:v>Federal</x:v>
      </x:c>
      <x:c r="C2" s="15" t="str">
        <x:v>Catálogo</x:v>
      </x:c>
      <x:c r="D2" s="15" t="str">
        <x:v>Catálogo de APIs Governamentais / Conecta gov.br</x:v>
      </x:c>
      <x:c r="E2" s="15" t="str">
        <x:v>Governo Federal</x:v>
      </x:c>
      <x:c r="F2" s="15" t="str">
        <x:v>Descobrir APIs oficiais federais e status de acesso</x:v>
      </x:c>
      <x:c r="G2" s="15" t="str">
        <x:v>Catálogo/API docs</x:v>
      </x:c>
      <x:c r="H2" s="15" t="str">
        <x:v>Aberto para consulta</x:v>
      </x:c>
      <x:c r="I2" s="15" t="str">
        <x:v>Crítica</x:v>
      </x:c>
      <x:c r="J2" s="15" t="str">
        <x:v>https://www.gov.br/conecta/catalogo/apis</x:v>
      </x:c>
      <x:c r="K2" s="15" t="str">
        <x:v>https://www.gov.br/conecta/catalogo/apis</x:v>
      </x:c>
      <x:c r="L2" s="15" t="str">
        <x:v>Catálogo central; muitas APIs exigem credencial/convênio.</x:v>
      </x:c>
      <x:c r="M2" s="15" t="str">
        <x:v>Backlog</x:v>
      </x:c>
    </x:row>
    <x:row r="3">
      <x:c r="A3" s="15" t="n">
        <x:v>2</x:v>
      </x:c>
      <x:c r="B3" s="15" t="str">
        <x:v>Federal</x:v>
      </x:c>
      <x:c r="C3" s="15" t="str">
        <x:v>Catálogo</x:v>
      </x:c>
      <x:c r="D3" s="15" t="str">
        <x:v>API Portal Brasileiro de Dados Abertos</x:v>
      </x:c>
      <x:c r="E3" s="15" t="str">
        <x:v>CGU / dados.gov.br</x:v>
      </x:c>
      <x:c r="F3" s="15" t="str">
        <x:v>Buscar datasets, organizações, grupos, tags e recursos</x:v>
      </x:c>
      <x:c r="G3" s="15" t="str">
        <x:v>REST/CKAN-like</x:v>
      </x:c>
      <x:c r="H3" s="15" t="str">
        <x:v>Token/aberto conforme uso</x:v>
      </x:c>
      <x:c r="I3" s="15" t="str">
        <x:v>Crítica</x:v>
      </x:c>
      <x:c r="J3" s="15" t="str">
        <x:v>https://dados.gov.br/swagger-ui/index.html</x:v>
      </x:c>
      <x:c r="K3" s="15" t="str">
        <x:v>https://dados.gov.br/dados/api/publico/</x:v>
      </x:c>
      <x:c r="L3" s="15" t="str">
        <x:v>Base para crawler nacional de datasets.</x:v>
      </x:c>
      <x:c r="M3" s="15" t="str">
        <x:v>Backlog</x:v>
      </x:c>
    </x:row>
    <x:row r="4">
      <x:c r="A4" s="15" t="n">
        <x:v>3</x:v>
      </x:c>
      <x:c r="B4" s="15" t="str">
        <x:v>Federal</x:v>
      </x:c>
      <x:c r="C4" s="15" t="str">
        <x:v>Transparência</x:v>
      </x:c>
      <x:c r="D4" s="15" t="str">
        <x:v>Portal da Transparência API</x:v>
      </x:c>
      <x:c r="E4" s="15" t="str">
        <x:v>CGU</x:v>
      </x:c>
      <x:c r="F4" s="15" t="str">
        <x:v>Servidores, despesas, benefícios, emendas, sanções, imóveis funcionais</x:v>
      </x:c>
      <x:c r="G4" s="15" t="str">
        <x:v>REST</x:v>
      </x:c>
      <x:c r="H4" s="15" t="str">
        <x:v>Token gratuito/API Key</x:v>
      </x:c>
      <x:c r="I4" s="15" t="str">
        <x:v>Crítica</x:v>
      </x:c>
      <x:c r="J4" s="15" t="str">
        <x:v>https://api.portaldatransparencia.gov.br/swagger-ui/index.html</x:v>
      </x:c>
      <x:c r="K4" s="15" t="str">
        <x:v>https://api.portaldatransparencia.gov.br/api-de-dados/</x:v>
      </x:c>
      <x:c r="L4" s="15" t="str">
        <x:v>Essencial para compliance e inteligência comercial.</x:v>
      </x:c>
      <x:c r="M4" s="15" t="str">
        <x:v>Backlog</x:v>
      </x:c>
    </x:row>
    <x:row r="5">
      <x:c r="A5" s="15" t="n">
        <x:v>4</x:v>
      </x:c>
      <x:c r="B5" s="15" t="str">
        <x:v>Federal</x:v>
      </x:c>
      <x:c r="C5" s="15" t="str">
        <x:v>Compras públicas</x:v>
      </x:c>
      <x:c r="D5" s="15" t="str">
        <x:v>PNCP API</x:v>
      </x:c>
      <x:c r="E5" s="15" t="str">
        <x:v>Portal Nacional de Contratações Públicas</x:v>
      </x:c>
      <x:c r="F5" s="15" t="str">
        <x:v>Contratações, editais, atas, contratos, planos e órgãos</x:v>
      </x:c>
      <x:c r="G5" s="15" t="str">
        <x:v>REST/Swagger</x:v>
      </x:c>
      <x:c r="H5" s="15" t="str">
        <x:v>Aberto</x:v>
      </x:c>
      <x:c r="I5" s="15" t="str">
        <x:v>Crítica</x:v>
      </x:c>
      <x:c r="J5" s="15" t="str">
        <x:v>https://pncp.gov.br/api/pncp/swagger-ui/index.html</x:v>
      </x:c>
      <x:c r="K5" s="15" t="str">
        <x:v>https://pncp.gov.br/api/</x:v>
      </x:c>
      <x:c r="L5" s="15" t="str">
        <x:v>Prioridade máxima para plataforma de oportunidades públicas.</x:v>
      </x:c>
      <x:c r="M5" s="15" t="str">
        <x:v>Backlog</x:v>
      </x:c>
    </x:row>
    <x:row r="6">
      <x:c r="A6" s="15" t="n">
        <x:v>5</x:v>
      </x:c>
      <x:c r="B6" s="15" t="str">
        <x:v>Federal</x:v>
      </x:c>
      <x:c r="C6" s="15" t="str">
        <x:v>Compras públicas</x:v>
      </x:c>
      <x:c r="D6" s="15" t="str">
        <x:v>Compras.gov.br Dados Abertos</x:v>
      </x:c>
      <x:c r="E6" s="15" t="str">
        <x:v>MGI / Compras.gov.br</x:v>
      </x:c>
      <x:c r="F6" s="15" t="str">
        <x:v>Catálogo de materiais/serviços, compras, preços praticados e planejamento</x:v>
      </x:c>
      <x:c r="G6" s="15" t="str">
        <x:v>REST/dados abertos</x:v>
      </x:c>
      <x:c r="H6" s="15" t="str">
        <x:v>Aberto</x:v>
      </x:c>
      <x:c r="I6" s="15" t="str">
        <x:v>Crítica</x:v>
      </x:c>
      <x:c r="J6" s="15" t="str">
        <x:v>https://dadosabertos.compras.gov.br/</x:v>
      </x:c>
      <x:c r="K6" s="15" t="str">
        <x:v>https://dadosabertos.compras.gov.br/modulo-pesquisa-preco/1_consultarMaterial</x:v>
      </x:c>
      <x:c r="L6" s="15" t="str">
        <x:v>Boa fonte para precificação e benchmarking.</x:v>
      </x:c>
      <x:c r="M6" s="15" t="str">
        <x:v>Backlog</x:v>
      </x:c>
    </x:row>
    <x:row r="7">
      <x:c r="A7" s="15" t="n">
        <x:v>6</x:v>
      </x:c>
      <x:c r="B7" s="15" t="str">
        <x:v>Federal</x:v>
      </x:c>
      <x:c r="C7" s="15" t="str">
        <x:v>Estatística</x:v>
      </x:c>
      <x:c r="D7" s="15" t="str">
        <x:v>IBGE APIs</x:v>
      </x:c>
      <x:c r="E7" s="15" t="str">
        <x:v>IBGE</x:v>
      </x:c>
      <x:c r="F7" s="15" t="str">
        <x:v>Localidades, agregados, CNAE, nomes, malhas, calendário, geodésia</x:v>
      </x:c>
      <x:c r="G7" s="15" t="str">
        <x:v>REST</x:v>
      </x:c>
      <x:c r="H7" s="15" t="str">
        <x:v>Aberto</x:v>
      </x:c>
      <x:c r="I7" s="15" t="str">
        <x:v>Alta</x:v>
      </x:c>
      <x:c r="J7" s="15" t="str">
        <x:v>https://servicodados.ibge.gov.br/api/docs/</x:v>
      </x:c>
      <x:c r="K7" s="15" t="str">
        <x:v>https://servicodados.ibge.gov.br/api/v1/</x:v>
      </x:c>
      <x:c r="L7" s="15" t="str">
        <x:v>Base estrutural para municípios, UFs e indicadores.</x:v>
      </x:c>
      <x:c r="M7" s="15" t="str">
        <x:v>Backlog</x:v>
      </x:c>
    </x:row>
    <x:row r="8">
      <x:c r="A8" s="15" t="n">
        <x:v>7</x:v>
      </x:c>
      <x:c r="B8" s="15" t="str">
        <x:v>Federal</x:v>
      </x:c>
      <x:c r="C8" s="15" t="str">
        <x:v>Economia</x:v>
      </x:c>
      <x:c r="D8" s="15" t="str">
        <x:v>Banco Central SGS</x:v>
      </x:c>
      <x:c r="E8" s="15" t="str">
        <x:v>Banco Central do Brasil</x:v>
      </x:c>
      <x:c r="F8" s="15" t="str">
        <x:v>Séries temporais econômicas e financeiras</x:v>
      </x:c>
      <x:c r="G8" s="15" t="str">
        <x:v>REST/JSON/CSV</x:v>
      </x:c>
      <x:c r="H8" s="15" t="str">
        <x:v>Aberto</x:v>
      </x:c>
      <x:c r="I8" s="15" t="str">
        <x:v>Alta</x:v>
      </x:c>
      <x:c r="J8" s="15" t="str">
        <x:v>https://www.bcb.gov.br/estatisticas/sgs</x:v>
      </x:c>
      <x:c r="K8" s="15" t="str">
        <x:v>https://api.bcb.gov.br/dados/serie/bcdata.sgs.{codigo}/dados?formato=json</x:v>
      </x:c>
      <x:c r="L8" s="15" t="str">
        <x:v>Usar catálogo para mapear códigos de séries.</x:v>
      </x:c>
      <x:c r="M8" s="15" t="str">
        <x:v>Backlog</x:v>
      </x:c>
    </x:row>
    <x:row r="9">
      <x:c r="A9" s="15" t="n">
        <x:v>8</x:v>
      </x:c>
      <x:c r="B9" s="15" t="str">
        <x:v>Federal</x:v>
      </x:c>
      <x:c r="C9" s="15" t="str">
        <x:v>Economia</x:v>
      </x:c>
      <x:c r="D9" s="15" t="str">
        <x:v>Banco Central Olinda/OData</x:v>
      </x:c>
      <x:c r="E9" s="15" t="str">
        <x:v>Banco Central do Brasil</x:v>
      </x:c>
      <x:c r="F9" s="15" t="str">
        <x:v>Câmbio, expectativas, instituições financeiras e datasets OData</x:v>
      </x:c>
      <x:c r="G9" s="15" t="str">
        <x:v>OData</x:v>
      </x:c>
      <x:c r="H9" s="15" t="str">
        <x:v>Aberto</x:v>
      </x:c>
      <x:c r="I9" s="15" t="str">
        <x:v>Alta</x:v>
      </x:c>
      <x:c r="J9" s="15" t="str">
        <x:v>https://olinda.bcb.gov.br/olinda/servico/PTAX/versao/v1/aplicacao#!/recursos</x:v>
      </x:c>
      <x:c r="K9" s="15" t="str">
        <x:v>https://olinda.bcb.gov.br/olinda/servico/</x:v>
      </x:c>
      <x:c r="L9" s="15" t="str">
        <x:v>Excelente para consultas econômicas estruturadas.</x:v>
      </x:c>
      <x:c r="M9" s="15" t="str">
        <x:v>Backlog</x:v>
      </x:c>
    </x:row>
    <x:row r="10">
      <x:c r="A10" s="15" t="n">
        <x:v>9</x:v>
      </x:c>
      <x:c r="B10" s="15" t="str">
        <x:v>Federal</x:v>
      </x:c>
      <x:c r="C10" s="15" t="str">
        <x:v>Economia</x:v>
      </x:c>
      <x:c r="D10" s="15" t="str">
        <x:v>IPEADATA API</x:v>
      </x:c>
      <x:c r="E10" s="15" t="str">
        <x:v>IPEA</x:v>
      </x:c>
      <x:c r="F10" s="15" t="str">
        <x:v>Séries econômicas, sociais, demográficas e regionais</x:v>
      </x:c>
      <x:c r="G10" s="15" t="str">
        <x:v>OData</x:v>
      </x:c>
      <x:c r="H10" s="15" t="str">
        <x:v>Aberto</x:v>
      </x:c>
      <x:c r="I10" s="15" t="str">
        <x:v>Alta</x:v>
      </x:c>
      <x:c r="J10" s="15" t="str">
        <x:v>http://www.ipeadata.gov.br/api/</x:v>
      </x:c>
      <x:c r="K10" s="15" t="str">
        <x:v>http://www.ipeadata.gov.br/api/odata4/</x:v>
      </x:c>
      <x:c r="L10" s="15" t="str">
        <x:v>Complementa IBGE e Bacen.</x:v>
      </x:c>
      <x:c r="M10" s="15" t="str">
        <x:v>Backlog</x:v>
      </x:c>
    </x:row>
    <x:row r="11">
      <x:c r="A11" s="15" t="n">
        <x:v>10</x:v>
      </x:c>
      <x:c r="B11" s="15" t="str">
        <x:v>Federal</x:v>
      </x:c>
      <x:c r="C11" s="15" t="str">
        <x:v>Legislativo</x:v>
      </x:c>
      <x:c r="D11" s="15" t="str">
        <x:v>Dados Abertos Câmara dos Deputados</x:v>
      </x:c>
      <x:c r="E11" s="15" t="str">
        <x:v>Câmara dos Deputados</x:v>
      </x:c>
      <x:c r="F11" s="15" t="str">
        <x:v>Deputados, proposições, votações, despesas, eventos</x:v>
      </x:c>
      <x:c r="G11" s="15" t="str">
        <x:v>REST/Swagger</x:v>
      </x:c>
      <x:c r="H11" s="15" t="str">
        <x:v>Aberto</x:v>
      </x:c>
      <x:c r="I11" s="15" t="str">
        <x:v>Alta</x:v>
      </x:c>
      <x:c r="J11" s="15" t="str">
        <x:v>https://dadosabertos.camara.leg.br/swagger/api.html</x:v>
      </x:c>
      <x:c r="K11" s="15" t="str">
        <x:v>https://dadosabertos.camara.leg.br/api/v2/</x:v>
      </x:c>
      <x:c r="L11" s="15" t="str">
        <x:v>Útil para análise política e legislativa.</x:v>
      </x:c>
      <x:c r="M11" s="15" t="str">
        <x:v>Backlog</x:v>
      </x:c>
    </x:row>
    <x:row r="12">
      <x:c r="A12" s="15" t="n">
        <x:v>11</x:v>
      </x:c>
      <x:c r="B12" s="15" t="str">
        <x:v>Federal</x:v>
      </x:c>
      <x:c r="C12" s="15" t="str">
        <x:v>Legislativo</x:v>
      </x:c>
      <x:c r="D12" s="15" t="str">
        <x:v>Dados Abertos Senado Federal</x:v>
      </x:c>
      <x:c r="E12" s="15" t="str">
        <x:v>Senado Federal</x:v>
      </x:c>
      <x:c r="F12" s="15" t="str">
        <x:v>Senadores, matérias, votações e dados legislativos</x:v>
      </x:c>
      <x:c r="G12" s="15" t="str">
        <x:v>REST/Swagger/XML/JSON</x:v>
      </x:c>
      <x:c r="H12" s="15" t="str">
        <x:v>Aberto</x:v>
      </x:c>
      <x:c r="I12" s="15" t="str">
        <x:v>Alta</x:v>
      </x:c>
      <x:c r="J12" s="15" t="str">
        <x:v>https://legis.senado.leg.br/dadosabertos/api-docs/swagger-ui/index.html</x:v>
      </x:c>
      <x:c r="K12" s="15" t="str">
        <x:v>https://legis.senado.leg.br/dadosabertos/</x:v>
      </x:c>
      <x:c r="L12" s="15" t="str">
        <x:v>Alguns endpoints retornam XML.</x:v>
      </x:c>
      <x:c r="M12" s="15" t="str">
        <x:v>Backlog</x:v>
      </x:c>
    </x:row>
    <x:row r="13">
      <x:c r="A13" s="15" t="n">
        <x:v>12</x:v>
      </x:c>
      <x:c r="B13" s="15" t="str">
        <x:v>Judiciário</x:v>
      </x:c>
      <x:c r="C13" s="15" t="str">
        <x:v>Justiça</x:v>
      </x:c>
      <x:c r="D13" s="15" t="str">
        <x:v>DataJud API Pública</x:v>
      </x:c>
      <x:c r="E13" s="15" t="str">
        <x:v>CNJ</x:v>
      </x:c>
      <x:c r="F13" s="15" t="str">
        <x:v>Metadados públicos de processos judiciais</x:v>
      </x:c>
      <x:c r="G13" s="15" t="str">
        <x:v>REST/Elasticsearch-like</x:v>
      </x:c>
      <x:c r="H13" s="15" t="str">
        <x:v>Token/API Key pública</x:v>
      </x:c>
      <x:c r="I13" s="15" t="str">
        <x:v>Alta</x:v>
      </x:c>
      <x:c r="J13" s="15" t="str">
        <x:v>https://www.cnj.jus.br/sistemas/datajud/api-publica/</x:v>
      </x:c>
      <x:c r="K13" s="15" t="str">
        <x:v>https://api-publica.datajud.cnj.jus.br/</x:v>
      </x:c>
      <x:c r="L13" s="15" t="str">
        <x:v>Cuidado com LGPD e termos de uso.</x:v>
      </x:c>
      <x:c r="M13" s="15" t="str">
        <x:v>Backlog</x:v>
      </x:c>
    </x:row>
    <x:row r="14">
      <x:c r="A14" s="15" t="n">
        <x:v>13</x:v>
      </x:c>
      <x:c r="B14" s="15" t="str">
        <x:v>Federal</x:v>
      </x:c>
      <x:c r="C14" s="15" t="str">
        <x:v>Eleições</x:v>
      </x:c>
      <x:c r="D14" s="15" t="str">
        <x:v>Portal de Dados Abertos TSE</x:v>
      </x:c>
      <x:c r="E14" s="15" t="str">
        <x:v>TSE</x:v>
      </x:c>
      <x:c r="F14" s="15" t="str">
        <x:v>Eleições, candidatos, partidos, eleitorado, resultados e prestação de contas</x:v>
      </x:c>
      <x:c r="G14" s="15" t="str">
        <x:v>CKAN/dados abertos</x:v>
      </x:c>
      <x:c r="H14" s="15" t="str">
        <x:v>Aberto</x:v>
      </x:c>
      <x:c r="I14" s="15" t="str">
        <x:v>Alta</x:v>
      </x:c>
      <x:c r="J14" s="15" t="str">
        <x:v>https://dadosabertos.tse.jus.br/</x:v>
      </x:c>
      <x:c r="K14" s="15" t="str">
        <x:v>https://dadosabertos.tse.jus.br/api/3/action/package_search</x:v>
      </x:c>
      <x:c r="L14" s="15" t="str">
        <x:v>Excelente para política e análise eleitoral.</x:v>
      </x:c>
      <x:c r="M14" s="15" t="str">
        <x:v>Backlog</x:v>
      </x:c>
    </x:row>
    <x:row r="15">
      <x:c r="A15" s="15" t="n">
        <x:v>14</x:v>
      </x:c>
      <x:c r="B15" s="15" t="str">
        <x:v>Federal</x:v>
      </x:c>
      <x:c r="C15" s="15" t="str">
        <x:v>Empresas/CNPJ</x:v>
      </x:c>
      <x:c r="D15" s="15" t="str">
        <x:v>Dados Abertos CNPJ Receita Federal</x:v>
      </x:c>
      <x:c r="E15" s="15" t="str">
        <x:v>Receita Federal</x:v>
      </x:c>
      <x:c r="F15" s="15" t="str">
        <x:v>Cadastro nacional de empresas, sócios, CNAE, municípios e situação cadastral</x:v>
      </x:c>
      <x:c r="G15" s="15" t="str">
        <x:v>Download CSV/ZIP</x:v>
      </x:c>
      <x:c r="H15" s="15" t="str">
        <x:v>Aberto/download</x:v>
      </x:c>
      <x:c r="I15" s="15" t="str">
        <x:v>Crítica</x:v>
      </x:c>
      <x:c r="J15" s="15" t="str">
        <x:v>https://www.gov.br/receitafederal/pt-br/acesso-a-informacao/dados-abertos</x:v>
      </x:c>
      <x:c r="K15" s="15" t="str">
        <x:v>https://arquivos.receitafederal.gov.br/dados/cnpj/dados_abertos_cnpj/</x:v>
      </x:c>
      <x:c r="L15" s="15" t="str">
        <x:v>Não é REST simples; precisa ETL e banco próprio.</x:v>
      </x:c>
      <x:c r="M15" s="15" t="str">
        <x:v>Backlog</x:v>
      </x:c>
    </x:row>
    <x:row r="16">
      <x:c r="A16" s="15" t="n">
        <x:v>15</x:v>
      </x:c>
      <x:c r="B16" s="15" t="str">
        <x:v>Federal</x:v>
      </x:c>
      <x:c r="C16" s="15" t="str">
        <x:v>Empresas/CNPJ</x:v>
      </x:c>
      <x:c r="D16" s="15" t="str">
        <x:v>Consulta CNPJ</x:v>
      </x:c>
      <x:c r="E16" s="15" t="str">
        <x:v>Receita Federal / Conecta gov.br</x:v>
      </x:c>
      <x:c r="F16" s="15" t="str">
        <x:v>Consulta individual de CNPJ</x:v>
      </x:c>
      <x:c r="G16" s="15" t="str">
        <x:v>REST</x:v>
      </x:c>
      <x:c r="H16" s="15" t="str">
        <x:v>Restrito/credencial</x:v>
      </x:c>
      <x:c r="I16" s="15" t="str">
        <x:v>Crítica</x:v>
      </x:c>
      <x:c r="J16" s="15" t="str">
        <x:v>https://www.gov.br/conecta/catalogo/apis/consulta-cnpj</x:v>
      </x:c>
      <x:c r="K16" s="15" t="str"/>
      <x:c r="L16" s="15" t="str">
        <x:v>Verificar condições de acesso pelo Conecta/Serpro.</x:v>
      </x:c>
      <x:c r="M16" s="15" t="str">
        <x:v>Backlog</x:v>
      </x:c>
    </x:row>
    <x:row r="17">
      <x:c r="A17" s="15" t="n">
        <x:v>16</x:v>
      </x:c>
      <x:c r="B17" s="15" t="str">
        <x:v>Federal</x:v>
      </x:c>
      <x:c r="C17" s="15" t="str">
        <x:v>Saúde</x:v>
      </x:c>
      <x:c r="D17" s="15" t="str">
        <x:v>OpenDataSUS</x:v>
      </x:c>
      <x:c r="E17" s="15" t="str">
        <x:v>Ministério da Saúde</x:v>
      </x:c>
      <x:c r="F17" s="15" t="str">
        <x:v>Datasets de saúde pública</x:v>
      </x:c>
      <x:c r="G17" s="15" t="str">
        <x:v>CKAN/dados abertos</x:v>
      </x:c>
      <x:c r="H17" s="15" t="str">
        <x:v>Aberto</x:v>
      </x:c>
      <x:c r="I17" s="15" t="str">
        <x:v>Média</x:v>
      </x:c>
      <x:c r="J17" s="15" t="str">
        <x:v>https://opendatasus.saude.gov.br/</x:v>
      </x:c>
      <x:c r="K17" s="15" t="str">
        <x:v>https://opendatasus.saude.gov.br/api/3/action/package_search</x:v>
      </x:c>
      <x:c r="L17" s="15" t="str">
        <x:v>Bom para BI, não necessariamente API operacional.</x:v>
      </x:c>
      <x:c r="M17" s="15" t="str">
        <x:v>Backlog</x:v>
      </x:c>
    </x:row>
    <x:row r="18">
      <x:c r="A18" s="15" t="n">
        <x:v>17</x:v>
      </x:c>
      <x:c r="B18" s="15" t="str">
        <x:v>Federal</x:v>
      </x:c>
      <x:c r="C18" s="15" t="str">
        <x:v>Saúde</x:v>
      </x:c>
      <x:c r="D18" s="15" t="str">
        <x:v>API Dados Abertos Ministério da Saúde</x:v>
      </x:c>
      <x:c r="E18" s="15" t="str">
        <x:v>Ministério da Saúde</x:v>
      </x:c>
      <x:c r="F18" s="15" t="str">
        <x:v>Indicadores e bases de saúde</x:v>
      </x:c>
      <x:c r="G18" s="15" t="str">
        <x:v>REST</x:v>
      </x:c>
      <x:c r="H18" s="15" t="str">
        <x:v>Aberto</x:v>
      </x:c>
      <x:c r="I18" s="15" t="str">
        <x:v>Média</x:v>
      </x:c>
      <x:c r="J18" s="15" t="str">
        <x:v>https://apidadosabertos.saude.gov.br/</x:v>
      </x:c>
      <x:c r="K18" s="15" t="str">
        <x:v>https://apidadosabertos.saude.gov.br/</x:v>
      </x:c>
      <x:c r="L18" s="15" t="str">
        <x:v>Confirmar endpoints ativos por tema.</x:v>
      </x:c>
      <x:c r="M18" s="15" t="str">
        <x:v>Backlog</x:v>
      </x:c>
    </x:row>
    <x:row r="19">
      <x:c r="A19" s="15" t="n">
        <x:v>18</x:v>
      </x:c>
      <x:c r="B19" s="15" t="str">
        <x:v>Federal</x:v>
      </x:c>
      <x:c r="C19" s="15" t="str">
        <x:v>Saúde suplementar</x:v>
      </x:c>
      <x:c r="D19" s="15" t="str">
        <x:v>Dados Abertos ANS</x:v>
      </x:c>
      <x:c r="E19" s="15" t="str">
        <x:v>ANS</x:v>
      </x:c>
      <x:c r="F19" s="15" t="str">
        <x:v>Operadoras, planos, beneficiários, reclamações e informações regulatórias</x:v>
      </x:c>
      <x:c r="G19" s="15" t="str">
        <x:v>Dados abertos/API parcial</x:v>
      </x:c>
      <x:c r="H19" s="15" t="str">
        <x:v>Aberto</x:v>
      </x:c>
      <x:c r="I19" s="15" t="str">
        <x:v>Média</x:v>
      </x:c>
      <x:c r="J19" s="15" t="str">
        <x:v>https://dadosabertos.ans.gov.br/</x:v>
      </x:c>
      <x:c r="K19" s="15" t="str">
        <x:v>https://dadosabertos.ans.gov.br/FTP/</x:v>
      </x:c>
      <x:c r="L19" s="15" t="str">
        <x:v>Muitas bases em arquivo; ETL necessário.</x:v>
      </x:c>
      <x:c r="M19" s="15" t="str">
        <x:v>Backlog</x:v>
      </x:c>
    </x:row>
    <x:row r="20">
      <x:c r="A20" s="15" t="n">
        <x:v>19</x:v>
      </x:c>
      <x:c r="B20" s="15" t="str">
        <x:v>Federal</x:v>
      </x:c>
      <x:c r="C20" s="15" t="str">
        <x:v>Energia</x:v>
      </x:c>
      <x:c r="D20" s="15" t="str">
        <x:v>Dados Abertos ANEEL</x:v>
      </x:c>
      <x:c r="E20" s="15" t="str">
        <x:v>ANEEL</x:v>
      </x:c>
      <x:c r="F20" s="15" t="str">
        <x:v>Geração, distribuição, tarifas, outorgas e fiscalização</x:v>
      </x:c>
      <x:c r="G20" s="15" t="str">
        <x:v>CKAN/API</x:v>
      </x:c>
      <x:c r="H20" s="15" t="str">
        <x:v>Aberto</x:v>
      </x:c>
      <x:c r="I20" s="15" t="str">
        <x:v>Média</x:v>
      </x:c>
      <x:c r="J20" s="15" t="str">
        <x:v>https://dadosabertos.aneel.gov.br/</x:v>
      </x:c>
      <x:c r="K20" s="15" t="str">
        <x:v>https://dadosabertos.aneel.gov.br/api/3/action/package_search</x:v>
      </x:c>
      <x:c r="L20" s="15" t="str">
        <x:v>Útil para energia, infraestrutura e território.</x:v>
      </x:c>
      <x:c r="M20" s="15" t="str">
        <x:v>Backlog</x:v>
      </x:c>
    </x:row>
    <x:row r="21">
      <x:c r="A21" s="15" t="n">
        <x:v>20</x:v>
      </x:c>
      <x:c r="B21" s="15" t="str">
        <x:v>Federal</x:v>
      </x:c>
      <x:c r="C21" s="15" t="str">
        <x:v>Telecom</x:v>
      </x:c>
      <x:c r="D21" s="15" t="str">
        <x:v>Dados Abertos Anatel</x:v>
      </x:c>
      <x:c r="E21" s="15" t="str">
        <x:v>Anatel</x:v>
      </x:c>
      <x:c r="F21" s="15" t="str">
        <x:v>Telefonia, banda larga, reclamações, outorgas e qualidade</x:v>
      </x:c>
      <x:c r="G21" s="15" t="str">
        <x:v>Dados abertos/API parcial</x:v>
      </x:c>
      <x:c r="H21" s="15" t="str">
        <x:v>Aberto</x:v>
      </x:c>
      <x:c r="I21" s="15" t="str">
        <x:v>Média</x:v>
      </x:c>
      <x:c r="J21" s="15" t="str">
        <x:v>https://informacoes.anatel.gov.br/paineis/dados-abertos</x:v>
      </x:c>
      <x:c r="K21" s="15" t="str"/>
      <x:c r="L21" s="15" t="str">
        <x:v>Pode exigir raspagem/catálogo complementar.</x:v>
      </x:c>
      <x:c r="M21" s="15" t="str">
        <x:v>Backlog</x:v>
      </x:c>
    </x:row>
    <x:row r="22">
      <x:c r="A22" s="15" t="n">
        <x:v>21</x:v>
      </x:c>
      <x:c r="B22" s="15" t="str">
        <x:v>Federal</x:v>
      </x:c>
      <x:c r="C22" s="15" t="str">
        <x:v>Petróleo/Gás</x:v>
      </x:c>
      <x:c r="D22" s="15" t="str">
        <x:v>Dados Abertos ANP</x:v>
      </x:c>
      <x:c r="E22" s="15" t="str">
        <x:v>ANP</x:v>
      </x:c>
      <x:c r="F22" s="15" t="str">
        <x:v>Combustíveis, preços, revendas, produção, petróleo e gás</x:v>
      </x:c>
      <x:c r="G22" s="15" t="str">
        <x:v>Dados abertos/API parcial</x:v>
      </x:c>
      <x:c r="H22" s="15" t="str">
        <x:v>Aberto</x:v>
      </x:c>
      <x:c r="I22" s="15" t="str">
        <x:v>Média</x:v>
      </x:c>
      <x:c r="J22" s="15" t="str">
        <x:v>https://www.gov.br/anp/pt-br/centrais-de-conteudo/dados-abertos</x:v>
      </x:c>
      <x:c r="K22" s="15" t="str"/>
      <x:c r="L22" s="15" t="str">
        <x:v>Forte para inteligência comercial local.</x:v>
      </x:c>
      <x:c r="M22" s="15" t="str">
        <x:v>Backlog</x:v>
      </x:c>
    </x:row>
    <x:row r="23">
      <x:c r="A23" s="15" t="n">
        <x:v>22</x:v>
      </x:c>
      <x:c r="B23" s="15" t="str">
        <x:v>Federal</x:v>
      </x:c>
      <x:c r="C23" s="15" t="str">
        <x:v>Ambiental</x:v>
      </x:c>
      <x:c r="D23" s="15" t="str">
        <x:v>Dados Abertos IBAMA</x:v>
      </x:c>
      <x:c r="E23" s="15" t="str">
        <x:v>IBAMA</x:v>
      </x:c>
      <x:c r="F23" s="15" t="str">
        <x:v>Embargos, licenças, fauna/flora, autos e fiscalização ambiental</x:v>
      </x:c>
      <x:c r="G23" s="15" t="str">
        <x:v>CKAN/API</x:v>
      </x:c>
      <x:c r="H23" s="15" t="str">
        <x:v>Aberto</x:v>
      </x:c>
      <x:c r="I23" s="15" t="str">
        <x:v>Média</x:v>
      </x:c>
      <x:c r="J23" s="15" t="str">
        <x:v>https://dadosabertos.ibama.gov.br/</x:v>
      </x:c>
      <x:c r="K23" s="15" t="str">
        <x:v>https://dadosabertos.ibama.gov.br/api/3/action/package_search</x:v>
      </x:c>
      <x:c r="L23" s="15" t="str">
        <x:v>Atenção à atualização e granularidade.</x:v>
      </x:c>
      <x:c r="M23" s="15" t="str">
        <x:v>Backlog</x:v>
      </x:c>
    </x:row>
    <x:row r="24">
      <x:c r="A24" s="15" t="n">
        <x:v>23</x:v>
      </x:c>
      <x:c r="B24" s="15" t="str">
        <x:v>Federal</x:v>
      </x:c>
      <x:c r="C24" s="15" t="str">
        <x:v>Água/Clima</x:v>
      </x:c>
      <x:c r="D24" s="15" t="str">
        <x:v>HidroWeb / SNIRH</x:v>
      </x:c>
      <x:c r="E24" s="15" t="str">
        <x:v>ANA</x:v>
      </x:c>
      <x:c r="F24" s="15" t="str">
        <x:v>Dados hidrológicos, estações, vazões, chuvas e recursos hídricos</x:v>
      </x:c>
      <x:c r="G24" s="15" t="str">
        <x:v>REST/API/serviços</x:v>
      </x:c>
      <x:c r="H24" s="15" t="str">
        <x:v>Aberto</x:v>
      </x:c>
      <x:c r="I24" s="15" t="str">
        <x:v>Média</x:v>
      </x:c>
      <x:c r="J24" s="15" t="str">
        <x:v>https://www.snirh.gov.br/hidroweb</x:v>
      </x:c>
      <x:c r="K24" s="15" t="str">
        <x:v>https://www.snirh.gov.br/hidroweb/rest/</x:v>
      </x:c>
      <x:c r="L24" s="15" t="str">
        <x:v>Checar estabilidade dos endpoints.</x:v>
      </x:c>
      <x:c r="M24" s="15" t="str">
        <x:v>Backlog</x:v>
      </x:c>
    </x:row>
    <x:row r="25">
      <x:c r="A25" s="15" t="n">
        <x:v>24</x:v>
      </x:c>
      <x:c r="B25" s="15" t="str">
        <x:v>Federal</x:v>
      </x:c>
      <x:c r="C25" s="15" t="str">
        <x:v>Transporte</x:v>
      </x:c>
      <x:c r="D25" s="15" t="str">
        <x:v>Dados Abertos ANTT</x:v>
      </x:c>
      <x:c r="E25" s="15" t="str">
        <x:v>ANTT</x:v>
      </x:c>
      <x:c r="F25" s="15" t="str">
        <x:v>Rodovias, transporte terrestre, autorizações e fiscalização</x:v>
      </x:c>
      <x:c r="G25" s="15" t="str">
        <x:v>CKAN/API</x:v>
      </x:c>
      <x:c r="H25" s="15" t="str">
        <x:v>Aberto</x:v>
      </x:c>
      <x:c r="I25" s="15" t="str">
        <x:v>Média</x:v>
      </x:c>
      <x:c r="J25" s="15" t="str">
        <x:v>https://dados.antt.gov.br/</x:v>
      </x:c>
      <x:c r="K25" s="15" t="str">
        <x:v>https://dados.antt.gov.br/api/3/action/package_search</x:v>
      </x:c>
      <x:c r="L25" s="15" t="str">
        <x:v>Bom para logística e território.</x:v>
      </x:c>
      <x:c r="M25" s="15" t="str">
        <x:v>Backlog</x:v>
      </x:c>
    </x:row>
    <x:row r="26">
      <x:c r="A26" s="15" t="n">
        <x:v>25</x:v>
      </x:c>
      <x:c r="B26" s="15" t="str">
        <x:v>Federal</x:v>
      </x:c>
      <x:c r="C26" s="15" t="str">
        <x:v>Meteorologia</x:v>
      </x:c>
      <x:c r="D26" s="15" t="str">
        <x:v>INMET Dados Meteorológicos</x:v>
      </x:c>
      <x:c r="E26" s="15" t="str">
        <x:v>INMET</x:v>
      </x:c>
      <x:c r="F26" s="15" t="str">
        <x:v>Estações, clima, meteorologia e séries históricas</x:v>
      </x:c>
      <x:c r="G26" s="15" t="str">
        <x:v>API/download</x:v>
      </x:c>
      <x:c r="H26" s="15" t="str">
        <x:v>Aberto</x:v>
      </x:c>
      <x:c r="I26" s="15" t="str">
        <x:v>Média</x:v>
      </x:c>
      <x:c r="J26" s="15" t="str">
        <x:v>https://portal.inmet.gov.br/dadoshistoricos</x:v>
      </x:c>
      <x:c r="K26" s="15" t="str">
        <x:v>https://apitempo.inmet.gov.br/</x:v>
      </x:c>
      <x:c r="L26" s="15" t="str">
        <x:v>Muito útil para HVAC, agro, energia e logística.</x:v>
      </x:c>
      <x:c r="M26" s="15" t="str">
        <x:v>Backlog</x:v>
      </x:c>
    </x:row>
    <x:row r="27">
      <x:c r="A27" s="15" t="n">
        <x:v>26</x:v>
      </x:c>
      <x:c r="B27" s="15" t="str">
        <x:v>Federal</x:v>
      </x:c>
      <x:c r="C27" s="15" t="str">
        <x:v>Identidade</x:v>
      </x:c>
      <x:c r="D27" s="15" t="str">
        <x:v>Acesso gov.br</x:v>
      </x:c>
      <x:c r="E27" s="15" t="str">
        <x:v>Governo Federal</x:v>
      </x:c>
      <x:c r="F27" s="15" t="str">
        <x:v>Autenticação/login único gov.br</x:v>
      </x:c>
      <x:c r="G27" s="15" t="str">
        <x:v>OAuth/API</x:v>
      </x:c>
      <x:c r="H27" s="15" t="str">
        <x:v>Restrito/credencial</x:v>
      </x:c>
      <x:c r="I27" s="15" t="str">
        <x:v>Alta</x:v>
      </x:c>
      <x:c r="J27" s="15" t="str">
        <x:v>https://www.gov.br/conecta/catalogo/apis/acesso-gov.br</x:v>
      </x:c>
      <x:c r="K27" s="15" t="str"/>
      <x:c r="L27" s="15" t="str">
        <x:v>Geralmente exige integração formal.</x:v>
      </x:c>
      <x:c r="M27" s="15" t="str">
        <x:v>Backlog</x:v>
      </x:c>
    </x:row>
    <x:row r="28">
      <x:c r="A28" s="15" t="n">
        <x:v>27</x:v>
      </x:c>
      <x:c r="B28" s="15" t="str">
        <x:v>Federal</x:v>
      </x:c>
      <x:c r="C28" s="15" t="str">
        <x:v>Identidade</x:v>
      </x:c>
      <x:c r="D28" s="15" t="str">
        <x:v>Assinatura Digital Avançada</x:v>
      </x:c>
      <x:c r="E28" s="15" t="str">
        <x:v>Governo Federal</x:v>
      </x:c>
      <x:c r="F28" s="15" t="str">
        <x:v>Assinatura eletrônica avançada</x:v>
      </x:c>
      <x:c r="G28" s="15" t="str">
        <x:v>API</x:v>
      </x:c>
      <x:c r="H28" s="15" t="str">
        <x:v>Restrito/credencial</x:v>
      </x:c>
      <x:c r="I28" s="15" t="str">
        <x:v>Média</x:v>
      </x:c>
      <x:c r="J28" s="15" t="str">
        <x:v>https://www.gov.br/conecta/catalogo/apis/assinatura-digital-avancada</x:v>
      </x:c>
      <x:c r="K28" s="15" t="str"/>
      <x:c r="L28" s="15" t="str"/>
      <x:c r="M28" s="15" t="str">
        <x:v>Backlog</x:v>
      </x:c>
    </x:row>
    <x:row r="29">
      <x:c r="A29" s="15" t="n">
        <x:v>28</x:v>
      </x:c>
      <x:c r="B29" s="15" t="str">
        <x:v>Federal</x:v>
      </x:c>
      <x:c r="C29" s="15" t="str">
        <x:v>Identidade</x:v>
      </x:c>
      <x:c r="D29" s="15" t="str">
        <x:v>Carteira de Documentos gov.br / Wallet</x:v>
      </x:c>
      <x:c r="E29" s="15" t="str">
        <x:v>Governo Federal</x:v>
      </x:c>
      <x:c r="F29" s="15" t="str">
        <x:v>Documentos digitais em carteira</x:v>
      </x:c>
      <x:c r="G29" s="15" t="str">
        <x:v>API</x:v>
      </x:c>
      <x:c r="H29" s="15" t="str">
        <x:v>Restrito/credencial</x:v>
      </x:c>
      <x:c r="I29" s="15" t="str">
        <x:v>Média</x:v>
      </x:c>
      <x:c r="J29" s="15" t="str">
        <x:v>https://www.gov.br/conecta/catalogo/apis/carteira-de-documentos-digitais-wallet</x:v>
      </x:c>
      <x:c r="K29" s="15" t="str"/>
      <x:c r="L29" s="15" t="str"/>
      <x:c r="M29" s="15" t="str">
        <x:v>Backlog</x:v>
      </x:c>
    </x:row>
    <x:row r="30">
      <x:c r="A30" s="15" t="n">
        <x:v>29</x:v>
      </x:c>
      <x:c r="B30" s="15" t="str">
        <x:v>Federal</x:v>
      </x:c>
      <x:c r="C30" s="15" t="str">
        <x:v>Cidadão</x:v>
      </x:c>
      <x:c r="D30" s="15" t="str">
        <x:v>Cadastro Base do Cidadão / CPF</x:v>
      </x:c>
      <x:c r="E30" s="15" t="str">
        <x:v>Governo Federal</x:v>
      </x:c>
      <x:c r="F30" s="15" t="str">
        <x:v>Consulta/validação cadastral de cidadão</x:v>
      </x:c>
      <x:c r="G30" s="15" t="str">
        <x:v>API</x:v>
      </x:c>
      <x:c r="H30" s="15" t="str">
        <x:v>Restrito/credencial</x:v>
      </x:c>
      <x:c r="I30" s="15" t="str">
        <x:v>Alta</x:v>
      </x:c>
      <x:c r="J30" s="15" t="str">
        <x:v>https://www.gov.br/conecta/catalogo/apis/cadastro-base-do-cidadao-cpf</x:v>
      </x:c>
      <x:c r="K30" s="15" t="str"/>
      <x:c r="L30" s="15" t="str">
        <x:v>Dado pessoal; LGPD pesada.</x:v>
      </x:c>
      <x:c r="M30" s="15" t="str">
        <x:v>Backlog</x:v>
      </x:c>
    </x:row>
    <x:row r="31">
      <x:c r="A31" s="15" t="n">
        <x:v>30</x:v>
      </x:c>
      <x:c r="B31" s="15" t="str">
        <x:v>Federal</x:v>
      </x:c>
      <x:c r="C31" s="15" t="str">
        <x:v>Endereço</x:v>
      </x:c>
      <x:c r="D31" s="15" t="str">
        <x:v>Cadastro Base de Endereço / CEP</x:v>
      </x:c>
      <x:c r="E31" s="15" t="str">
        <x:v>Governo Federal</x:v>
      </x:c>
      <x:c r="F31" s="15" t="str">
        <x:v>Base de endereços e CEP</x:v>
      </x:c>
      <x:c r="G31" s="15" t="str">
        <x:v>API</x:v>
      </x:c>
      <x:c r="H31" s="15" t="str">
        <x:v>Restrito/credencial</x:v>
      </x:c>
      <x:c r="I31" s="15" t="str">
        <x:v>Alta</x:v>
      </x:c>
      <x:c r="J31" s="15" t="str">
        <x:v>https://www.gov.br/conecta/catalogo/apis/cadastro-base-de-endereco-cep</x:v>
      </x:c>
      <x:c r="K31" s="15" t="str"/>
      <x:c r="L31" s="15" t="str"/>
      <x:c r="M31" s="15" t="str">
        <x:v>Backlog</x:v>
      </x:c>
    </x:row>
    <x:row r="32">
      <x:c r="A32" s="15" t="n">
        <x:v>31</x:v>
      </x:c>
      <x:c r="B32" s="15" t="str">
        <x:v>Federal</x:v>
      </x:c>
      <x:c r="C32" s="15" t="str">
        <x:v>Endereço</x:v>
      </x:c>
      <x:c r="D32" s="15" t="str">
        <x:v>API de Qualificação de Endereços</x:v>
      </x:c>
      <x:c r="E32" s="15" t="str">
        <x:v>Governo Federal</x:v>
      </x:c>
      <x:c r="F32" s="15" t="str">
        <x:v>Normalização e qualificação de endereço</x:v>
      </x:c>
      <x:c r="G32" s="15" t="str">
        <x:v>API</x:v>
      </x:c>
      <x:c r="H32" s="15" t="str">
        <x:v>Restrito/credencial</x:v>
      </x:c>
      <x:c r="I32" s="15" t="str">
        <x:v>Alta</x:v>
      </x:c>
      <x:c r="J32" s="15" t="str">
        <x:v>https://www.gov.br/conecta/catalogo/apis/api-de-qualificacao-de-enderecos</x:v>
      </x:c>
      <x:c r="K32" s="15" t="str"/>
      <x:c r="L32" s="15" t="str"/>
      <x:c r="M32" s="15" t="str">
        <x:v>Backlog</x:v>
      </x:c>
    </x:row>
    <x:row r="33">
      <x:c r="A33" s="15" t="n">
        <x:v>32</x:v>
      </x:c>
      <x:c r="B33" s="15" t="str">
        <x:v>Federal</x:v>
      </x:c>
      <x:c r="C33" s="15" t="str">
        <x:v>Fiscal</x:v>
      </x:c>
      <x:c r="D33" s="15" t="str">
        <x:v>Consulta Certidão Negativa de Débitos / CND</x:v>
      </x:c>
      <x:c r="E33" s="15" t="str">
        <x:v>Receita Federal/PGFN</x:v>
      </x:c>
      <x:c r="F33" s="15" t="str">
        <x:v>Consulta de regularidade fiscal</x:v>
      </x:c>
      <x:c r="G33" s="15" t="str">
        <x:v>API</x:v>
      </x:c>
      <x:c r="H33" s="15" t="str">
        <x:v>Restrito/credencial</x:v>
      </x:c>
      <x:c r="I33" s="15" t="str">
        <x:v>Alta</x:v>
      </x:c>
      <x:c r="J33" s="15" t="str">
        <x:v>https://www.gov.br/conecta/catalogo/apis/consulta-certidao-negativa-de-debitos-cnd</x:v>
      </x:c>
      <x:c r="K33" s="15" t="str"/>
      <x:c r="L33" s="15" t="str"/>
      <x:c r="M33" s="15" t="str">
        <x:v>Backlog</x:v>
      </x:c>
    </x:row>
    <x:row r="34">
      <x:c r="A34" s="15" t="n">
        <x:v>33</x:v>
      </x:c>
      <x:c r="B34" s="15" t="str">
        <x:v>Federal</x:v>
      </x:c>
      <x:c r="C34" s="15" t="str">
        <x:v>Fiscal</x:v>
      </x:c>
      <x:c r="D34" s="15" t="str">
        <x:v>Consulta Dívida Ativa da União</x:v>
      </x:c>
      <x:c r="E34" s="15" t="str">
        <x:v>PGFN</x:v>
      </x:c>
      <x:c r="F34" s="15" t="str">
        <x:v>Verificar inscrições em dívida ativa</x:v>
      </x:c>
      <x:c r="G34" s="15" t="str">
        <x:v>API</x:v>
      </x:c>
      <x:c r="H34" s="15" t="str">
        <x:v>Restrito/credencial</x:v>
      </x:c>
      <x:c r="I34" s="15" t="str">
        <x:v>Alta</x:v>
      </x:c>
      <x:c r="J34" s="15" t="str">
        <x:v>https://www.gov.br/conecta/catalogo/apis/consulta-divida-ativa-da-uniao</x:v>
      </x:c>
      <x:c r="K34" s="15" t="str"/>
      <x:c r="L34" s="15" t="str"/>
      <x:c r="M34" s="15" t="str">
        <x:v>Backlog</x:v>
      </x:c>
    </x:row>
    <x:row r="35">
      <x:c r="A35" s="15" t="n">
        <x:v>34</x:v>
      </x:c>
      <x:c r="B35" s="15" t="str">
        <x:v>Federal</x:v>
      </x:c>
      <x:c r="C35" s="15" t="str">
        <x:v>Fiscal</x:v>
      </x:c>
      <x:c r="D35" s="15" t="str">
        <x:v>Gestão de Créditos / Dívida Ativa</x:v>
      </x:c>
      <x:c r="E35" s="15" t="str">
        <x:v>PGFN</x:v>
      </x:c>
      <x:c r="F35" s="15" t="str">
        <x:v>Gestão de créditos inscritos</x:v>
      </x:c>
      <x:c r="G35" s="15" t="str">
        <x:v>API</x:v>
      </x:c>
      <x:c r="H35" s="15" t="str">
        <x:v>Restrito/credencial</x:v>
      </x:c>
      <x:c r="I35" s="15" t="str">
        <x:v>Média</x:v>
      </x:c>
      <x:c r="J35" s="15" t="str">
        <x:v>https://www.gov.br/conecta/catalogo/apis/gestao-de-creditos</x:v>
      </x:c>
      <x:c r="K35" s="15" t="str"/>
      <x:c r="L35" s="15" t="str"/>
      <x:c r="M35" s="15" t="str">
        <x:v>Backlog</x:v>
      </x:c>
    </x:row>
    <x:row r="36">
      <x:c r="A36" s="15" t="n">
        <x:v>35</x:v>
      </x:c>
      <x:c r="B36" s="15" t="str">
        <x:v>Federal</x:v>
      </x:c>
      <x:c r="C36" s="15" t="str">
        <x:v>Fiscal</x:v>
      </x:c>
      <x:c r="D36" s="15" t="str">
        <x:v>API CADIN Credora</x:v>
      </x:c>
      <x:c r="E36" s="15" t="str">
        <x:v>Banco Central/Governo Federal</x:v>
      </x:c>
      <x:c r="F36" s="15" t="str">
        <x:v>Dados de créditos não quitados</x:v>
      </x:c>
      <x:c r="G36" s="15" t="str">
        <x:v>API</x:v>
      </x:c>
      <x:c r="H36" s="15" t="str">
        <x:v>Restrito/credencial</x:v>
      </x:c>
      <x:c r="I36" s="15" t="str">
        <x:v>Média</x:v>
      </x:c>
      <x:c r="J36" s="15" t="str">
        <x:v>https://www.gov.br/conecta/catalogo/apis/api-cadin-credora</x:v>
      </x:c>
      <x:c r="K36" s="15" t="str"/>
      <x:c r="L36" s="15" t="str"/>
      <x:c r="M36" s="15" t="str">
        <x:v>Backlog</x:v>
      </x:c>
    </x:row>
    <x:row r="37">
      <x:c r="A37" s="15" t="n">
        <x:v>36</x:v>
      </x:c>
      <x:c r="B37" s="15" t="str">
        <x:v>Federal</x:v>
      </x:c>
      <x:c r="C37" s="15" t="str">
        <x:v>Fiscal</x:v>
      </x:c>
      <x:c r="D37" s="15" t="str">
        <x:v>API CADIN Consulta / Contratante</x:v>
      </x:c>
      <x:c r="E37" s="15" t="str">
        <x:v>Banco Central/Governo Federal</x:v>
      </x:c>
      <x:c r="F37" s="15" t="str">
        <x:v>Consulta de regularidade no CADIN</x:v>
      </x:c>
      <x:c r="G37" s="15" t="str">
        <x:v>API</x:v>
      </x:c>
      <x:c r="H37" s="15" t="str">
        <x:v>Restrito/credencial</x:v>
      </x:c>
      <x:c r="I37" s="15" t="str">
        <x:v>Média</x:v>
      </x:c>
      <x:c r="J37" s="15" t="str">
        <x:v>https://www.gov.br/conecta/catalogo/apis/api-cadin-consulta-contratante</x:v>
      </x:c>
      <x:c r="K37" s="15" t="str"/>
      <x:c r="L37" s="15" t="str"/>
      <x:c r="M37" s="15" t="str">
        <x:v>Backlog</x:v>
      </x:c>
    </x:row>
    <x:row r="38">
      <x:c r="A38" s="15" t="n">
        <x:v>37</x:v>
      </x:c>
      <x:c r="B38" s="15" t="str">
        <x:v>Federal</x:v>
      </x:c>
      <x:c r="C38" s="15" t="str">
        <x:v>Financeiro</x:v>
      </x:c>
      <x:c r="D38" s="15" t="str">
        <x:v>Consulta IF BACEN / Práticas Sustentáveis</x:v>
      </x:c>
      <x:c r="E38" s="15" t="str">
        <x:v>Banco Central</x:v>
      </x:c>
      <x:c r="F38" s="15" t="str">
        <x:v>Consulta de instituições financeiras e práticas sustentáveis</x:v>
      </x:c>
      <x:c r="G38" s="15" t="str">
        <x:v>API</x:v>
      </x:c>
      <x:c r="H38" s="15" t="str">
        <x:v>Restrito/credencial</x:v>
      </x:c>
      <x:c r="I38" s="15" t="str">
        <x:v>Baixa</x:v>
      </x:c>
      <x:c r="J38" s="15" t="str">
        <x:v>https://www.gov.br/conecta/catalogo/apis/consulta-if-bacen-praticas-sustentaveis</x:v>
      </x:c>
      <x:c r="K38" s="15" t="str"/>
      <x:c r="L38" s="15" t="str"/>
      <x:c r="M38" s="15" t="str">
        <x:v>Backlog</x:v>
      </x:c>
    </x:row>
    <x:row r="39">
      <x:c r="A39" s="15" t="n">
        <x:v>38</x:v>
      </x:c>
      <x:c r="B39" s="15" t="str">
        <x:v>Federal</x:v>
      </x:c>
      <x:c r="C39" s="15" t="str">
        <x:v>Obras públicas</x:v>
      </x:c>
      <x:c r="D39" s="15" t="str">
        <x:v>Cadastro Integrado de Projetos de Investimentos / Obrasgov.br</x:v>
      </x:c>
      <x:c r="E39" s="15" t="str">
        <x:v>Governo Federal</x:v>
      </x:c>
      <x:c r="F39" s="15" t="str">
        <x:v>Obras e projetos de investimento</x:v>
      </x:c>
      <x:c r="G39" s="15" t="str">
        <x:v>API</x:v>
      </x:c>
      <x:c r="H39" s="15" t="str">
        <x:v>Restrito/credencial</x:v>
      </x:c>
      <x:c r="I39" s="15" t="str">
        <x:v>Alta</x:v>
      </x:c>
      <x:c r="J39" s="15" t="str">
        <x:v>https://www.gov.br/conecta/catalogo/apis/consulta-cadastro-integrado-de-projetos-de-investimentos-obrasgov-br</x:v>
      </x:c>
      <x:c r="K39" s="15" t="str"/>
      <x:c r="L39" s="15" t="str"/>
      <x:c r="M39" s="15" t="str">
        <x:v>Backlog</x:v>
      </x:c>
    </x:row>
    <x:row r="40">
      <x:c r="A40" s="15" t="n">
        <x:v>39</x:v>
      </x:c>
      <x:c r="B40" s="15" t="str">
        <x:v>Federal</x:v>
      </x:c>
      <x:c r="C40" s="15" t="str">
        <x:v>Assistência social</x:v>
      </x:c>
      <x:c r="D40" s="15" t="str">
        <x:v>CadÚnico Serviços</x:v>
      </x:c>
      <x:c r="E40" s="15" t="str">
        <x:v>MDS</x:v>
      </x:c>
      <x:c r="F40" s="15" t="str">
        <x:v>Cadastro Único</x:v>
      </x:c>
      <x:c r="G40" s="15" t="str">
        <x:v>API</x:v>
      </x:c>
      <x:c r="H40" s="15" t="str">
        <x:v>Restrito/credencial</x:v>
      </x:c>
      <x:c r="I40" s="15" t="str">
        <x:v>Média</x:v>
      </x:c>
      <x:c r="J40" s="15" t="str">
        <x:v>https://www.gov.br/conecta/catalogo/apis/cadunico-servicos</x:v>
      </x:c>
      <x:c r="K40" s="15" t="str"/>
      <x:c r="L40" s="15" t="str">
        <x:v>Dados sociais sensíveis.</x:v>
      </x:c>
      <x:c r="M40" s="15" t="str">
        <x:v>Backlog</x:v>
      </x:c>
    </x:row>
    <x:row r="41">
      <x:c r="A41" s="15" t="n">
        <x:v>40</x:v>
      </x:c>
      <x:c r="B41" s="15" t="str">
        <x:v>Federal</x:v>
      </x:c>
      <x:c r="C41" s="15" t="str">
        <x:v>Assistência social</x:v>
      </x:c>
      <x:c r="D41" s="15" t="str">
        <x:v>CadÚnico Serviços / Dados Familiares</x:v>
      </x:c>
      <x:c r="E41" s="15" t="str">
        <x:v>MDS</x:v>
      </x:c>
      <x:c r="F41" s="15" t="str">
        <x:v>Dados familiares do CadÚnico</x:v>
      </x:c>
      <x:c r="G41" s="15" t="str">
        <x:v>API</x:v>
      </x:c>
      <x:c r="H41" s="15" t="str">
        <x:v>Restrito/credencial</x:v>
      </x:c>
      <x:c r="I41" s="15" t="str">
        <x:v>Média</x:v>
      </x:c>
      <x:c r="J41" s="15" t="str">
        <x:v>https://www.gov.br/conecta/catalogo/apis/cadunico-servicos-dados-familiares</x:v>
      </x:c>
      <x:c r="K41" s="15" t="str"/>
      <x:c r="L41" s="15" t="str">
        <x:v>Dados sociais sensíveis.</x:v>
      </x:c>
      <x:c r="M41" s="15" t="str">
        <x:v>Backlog</x:v>
      </x:c>
    </x:row>
    <x:row r="42">
      <x:c r="A42" s="15" t="n">
        <x:v>41</x:v>
      </x:c>
      <x:c r="B42" s="15" t="str">
        <x:v>Federal</x:v>
      </x:c>
      <x:c r="C42" s="15" t="str">
        <x:v>Assistência social</x:v>
      </x:c>
      <x:c r="D42" s="15" t="str">
        <x:v>CadÚnico Serviços / Indicadores Familiares</x:v>
      </x:c>
      <x:c r="E42" s="15" t="str">
        <x:v>MDS</x:v>
      </x:c>
      <x:c r="F42" s="15" t="str">
        <x:v>Indicadores familiares</x:v>
      </x:c>
      <x:c r="G42" s="15" t="str">
        <x:v>API</x:v>
      </x:c>
      <x:c r="H42" s="15" t="str">
        <x:v>Restrito/credencial</x:v>
      </x:c>
      <x:c r="I42" s="15" t="str">
        <x:v>Média</x:v>
      </x:c>
      <x:c r="J42" s="15" t="str">
        <x:v>https://www.gov.br/conecta/catalogo/apis/cadunico-servicos-indicadores-familiares</x:v>
      </x:c>
      <x:c r="K42" s="15" t="str"/>
      <x:c r="L42" s="15" t="str"/>
      <x:c r="M42" s="15" t="str">
        <x:v>Backlog</x:v>
      </x:c>
    </x:row>
    <x:row r="43">
      <x:c r="A43" s="15" t="n">
        <x:v>42</x:v>
      </x:c>
      <x:c r="B43" s="15" t="str">
        <x:v>Federal</x:v>
      </x:c>
      <x:c r="C43" s="15" t="str">
        <x:v>Assistência social</x:v>
      </x:c>
      <x:c r="D43" s="15" t="str">
        <x:v>Benefício de Prestação Continuada / BPC</x:v>
      </x:c>
      <x:c r="E43" s="15" t="str">
        <x:v>INSS/MDS</x:v>
      </x:c>
      <x:c r="F43" s="15" t="str">
        <x:v>Consulta de benefício assistencial</x:v>
      </x:c>
      <x:c r="G43" s="15" t="str">
        <x:v>API</x:v>
      </x:c>
      <x:c r="H43" s="15" t="str">
        <x:v>Restrito/credencial</x:v>
      </x:c>
      <x:c r="I43" s="15" t="str">
        <x:v>Baixa</x:v>
      </x:c>
      <x:c r="J43" s="15" t="str">
        <x:v>https://www.gov.br/conecta/catalogo/apis/beneficio-de-prestacao-continuada-bpc</x:v>
      </x:c>
      <x:c r="K43" s="15" t="str"/>
      <x:c r="L43" s="15" t="str"/>
      <x:c r="M43" s="15" t="str">
        <x:v>Backlog</x:v>
      </x:c>
    </x:row>
    <x:row r="44">
      <x:c r="A44" s="15" t="n">
        <x:v>43</x:v>
      </x:c>
      <x:c r="B44" s="15" t="str">
        <x:v>Federal</x:v>
      </x:c>
      <x:c r="C44" s="15" t="str">
        <x:v>Previdência</x:v>
      </x:c>
      <x:c r="D44" s="15" t="str">
        <x:v>API Benefícios Previdenciários</x:v>
      </x:c>
      <x:c r="E44" s="15" t="str">
        <x:v>INSS</x:v>
      </x:c>
      <x:c r="F44" s="15" t="str">
        <x:v>Benefícios previdenciários</x:v>
      </x:c>
      <x:c r="G44" s="15" t="str">
        <x:v>API</x:v>
      </x:c>
      <x:c r="H44" s="15" t="str">
        <x:v>Restrito/credencial</x:v>
      </x:c>
      <x:c r="I44" s="15" t="str">
        <x:v>Média</x:v>
      </x:c>
      <x:c r="J44" s="15" t="str">
        <x:v>https://www.gov.br/conecta/catalogo/apis/api-beneficios-previdenciarios</x:v>
      </x:c>
      <x:c r="K44" s="15" t="str"/>
      <x:c r="L44" s="15" t="str"/>
      <x:c r="M44" s="15" t="str">
        <x:v>Backlog</x:v>
      </x:c>
    </x:row>
    <x:row r="45">
      <x:c r="A45" s="15" t="n">
        <x:v>44</x:v>
      </x:c>
      <x:c r="B45" s="15" t="str">
        <x:v>Federal</x:v>
      </x:c>
      <x:c r="C45" s="15" t="str">
        <x:v>Assistência social</x:v>
      </x:c>
      <x:c r="D45" s="15" t="str">
        <x:v>Faixa de Renda de Grupo Familiar</x:v>
      </x:c>
      <x:c r="E45" s="15" t="str">
        <x:v>Governo Federal</x:v>
      </x:c>
      <x:c r="F45" s="15" t="str">
        <x:v>Classificação de renda familiar</x:v>
      </x:c>
      <x:c r="G45" s="15" t="str">
        <x:v>API</x:v>
      </x:c>
      <x:c r="H45" s="15" t="str">
        <x:v>Restrito/credencial</x:v>
      </x:c>
      <x:c r="I45" s="15" t="str">
        <x:v>Baixa</x:v>
      </x:c>
      <x:c r="J45" s="15" t="str">
        <x:v>https://www.gov.br/conecta/catalogo/apis/faixa-de-renda-de-grupo-familiar</x:v>
      </x:c>
      <x:c r="K45" s="15" t="str"/>
      <x:c r="L45" s="15" t="str"/>
      <x:c r="M45" s="15" t="str">
        <x:v>Backlog</x:v>
      </x:c>
    </x:row>
    <x:row r="46">
      <x:c r="A46" s="15" t="n">
        <x:v>45</x:v>
      </x:c>
      <x:c r="B46" s="15" t="str">
        <x:v>Federal</x:v>
      </x:c>
      <x:c r="C46" s="15" t="str">
        <x:v>Juventude</x:v>
      </x:c>
      <x:c r="D46" s="15" t="str">
        <x:v>ID Jovem</x:v>
      </x:c>
      <x:c r="E46" s="15" t="str">
        <x:v>Governo Federal</x:v>
      </x:c>
      <x:c r="F46" s="15" t="str">
        <x:v>Consulta/validação ID Jovem</x:v>
      </x:c>
      <x:c r="G46" s="15" t="str">
        <x:v>API</x:v>
      </x:c>
      <x:c r="H46" s="15" t="str">
        <x:v>Restrito/credencial</x:v>
      </x:c>
      <x:c r="I46" s="15" t="str">
        <x:v>Baixa</x:v>
      </x:c>
      <x:c r="J46" s="15" t="str">
        <x:v>https://www.gov.br/conecta/catalogo/apis/id-jovem</x:v>
      </x:c>
      <x:c r="K46" s="15" t="str"/>
      <x:c r="L46" s="15" t="str"/>
      <x:c r="M46" s="15" t="str">
        <x:v>Backlog</x:v>
      </x:c>
    </x:row>
    <x:row r="47">
      <x:c r="A47" s="15" t="n">
        <x:v>46</x:v>
      </x:c>
      <x:c r="B47" s="15" t="str">
        <x:v>Federal</x:v>
      </x:c>
      <x:c r="C47" s="15" t="str">
        <x:v>Pessoa com deficiência</x:v>
      </x:c>
      <x:c r="D47" s="15" t="str">
        <x:v>Pessoa com Deficiência</x:v>
      </x:c>
      <x:c r="E47" s="15" t="str">
        <x:v>Governo Federal</x:v>
      </x:c>
      <x:c r="F47" s="15" t="str">
        <x:v>Dados e validação PCD</x:v>
      </x:c>
      <x:c r="G47" s="15" t="str">
        <x:v>API</x:v>
      </x:c>
      <x:c r="H47" s="15" t="str">
        <x:v>Restrito/credencial</x:v>
      </x:c>
      <x:c r="I47" s="15" t="str">
        <x:v>Baixa</x:v>
      </x:c>
      <x:c r="J47" s="15" t="str">
        <x:v>https://www.gov.br/conecta/catalogo/apis/pessoa-com-deficiencia</x:v>
      </x:c>
      <x:c r="K47" s="15" t="str"/>
      <x:c r="L47" s="15" t="str">
        <x:v>Dado sensível.</x:v>
      </x:c>
      <x:c r="M47" s="15" t="str">
        <x:v>Backlog</x:v>
      </x:c>
    </x:row>
    <x:row r="48">
      <x:c r="A48" s="15" t="n">
        <x:v>47</x:v>
      </x:c>
      <x:c r="B48" s="15" t="str">
        <x:v>Federal</x:v>
      </x:c>
      <x:c r="C48" s="15" t="str">
        <x:v>Criança/adolescente</x:v>
      </x:c>
      <x:c r="D48" s="15" t="str">
        <x:v>Responsável da Criança e do Adolescente</x:v>
      </x:c>
      <x:c r="E48" s="15" t="str">
        <x:v>Governo Federal</x:v>
      </x:c>
      <x:c r="F48" s="15" t="str">
        <x:v>Identificação de responsável legal</x:v>
      </x:c>
      <x:c r="G48" s="15" t="str">
        <x:v>API</x:v>
      </x:c>
      <x:c r="H48" s="15" t="str">
        <x:v>Restrito/credencial</x:v>
      </x:c>
      <x:c r="I48" s="15" t="str">
        <x:v>Baixa</x:v>
      </x:c>
      <x:c r="J48" s="15" t="str">
        <x:v>https://www.gov.br/conecta/catalogo/apis/api-do-responsavel-da-crianca-e-do-adolescente</x:v>
      </x:c>
      <x:c r="K48" s="15" t="str"/>
      <x:c r="L48" s="15" t="str">
        <x:v>Dado sensível.</x:v>
      </x:c>
      <x:c r="M48" s="15" t="str">
        <x:v>Backlog</x:v>
      </x:c>
    </x:row>
    <x:row r="49">
      <x:c r="A49" s="15" t="n">
        <x:v>48</x:v>
      </x:c>
      <x:c r="B49" s="15" t="str">
        <x:v>Federal</x:v>
      </x:c>
      <x:c r="C49" s="15" t="str">
        <x:v>Educação/Capacitação</x:v>
      </x:c>
      <x:c r="D49" s="15" t="str">
        <x:v>Ações de Aprendizagem</x:v>
      </x:c>
      <x:c r="E49" s="15" t="str">
        <x:v>Governo Federal</x:v>
      </x:c>
      <x:c r="F49" s="15" t="str">
        <x:v>Ações de capacitação concluídas</x:v>
      </x:c>
      <x:c r="G49" s="15" t="str">
        <x:v>API</x:v>
      </x:c>
      <x:c r="H49" s="15" t="str">
        <x:v>Restrito/credencial</x:v>
      </x:c>
      <x:c r="I49" s="15" t="str">
        <x:v>Baixa</x:v>
      </x:c>
      <x:c r="J49" s="15" t="str">
        <x:v>https://www.gov.br/conecta/catalogo/apis/acoes-de-aprendizagem</x:v>
      </x:c>
      <x:c r="K49" s="15" t="str"/>
      <x:c r="L49" s="15" t="str"/>
      <x:c r="M49" s="15" t="str">
        <x:v>Backlog</x:v>
      </x:c>
    </x:row>
    <x:row r="50">
      <x:c r="A50" s="15" t="n">
        <x:v>49</x:v>
      </x:c>
      <x:c r="B50" s="15" t="str">
        <x:v>Federal</x:v>
      </x:c>
      <x:c r="C50" s="15" t="str">
        <x:v>Saúde</x:v>
      </x:c>
      <x:c r="D50" s="15" t="str">
        <x:v>CNS / Cartão Nacional de Saúde</x:v>
      </x:c>
      <x:c r="E50" s="15" t="str">
        <x:v>Ministério da Saúde</x:v>
      </x:c>
      <x:c r="F50" s="15" t="str">
        <x:v>Identificação SUS</x:v>
      </x:c>
      <x:c r="G50" s="15" t="str">
        <x:v>API</x:v>
      </x:c>
      <x:c r="H50" s="15" t="str">
        <x:v>Restrito/credencial</x:v>
      </x:c>
      <x:c r="I50" s="15" t="str">
        <x:v>Média</x:v>
      </x:c>
      <x:c r="J50" s="15" t="str">
        <x:v>https://www.gov.br/conecta/catalogo/apis/cns-cartao-nacional-de-saude</x:v>
      </x:c>
      <x:c r="K50" s="15" t="str"/>
      <x:c r="L50" s="15" t="str">
        <x:v>Dado pessoal/sensível.</x:v>
      </x:c>
      <x:c r="M50" s="15" t="str">
        <x:v>Backlog</x:v>
      </x:c>
    </x:row>
    <x:row r="51">
      <x:c r="A51" s="15" t="n">
        <x:v>50</x:v>
      </x:c>
      <x:c r="B51" s="15" t="str">
        <x:v>Federal</x:v>
      </x:c>
      <x:c r="C51" s="15" t="str">
        <x:v>Saúde</x:v>
      </x:c>
      <x:c r="D51" s="15" t="str">
        <x:v>RNDS / Rede Nacional de Dados em Saúde</x:v>
      </x:c>
      <x:c r="E51" s="15" t="str">
        <x:v>Ministério da Saúde</x:v>
      </x:c>
      <x:c r="F51" s="15" t="str">
        <x:v>Interoperabilidade de dados de saúde</x:v>
      </x:c>
      <x:c r="G51" s="15" t="str">
        <x:v>API/FHIR</x:v>
      </x:c>
      <x:c r="H51" s="15" t="str">
        <x:v>Restrito/credencial</x:v>
      </x:c>
      <x:c r="I51" s="15" t="str">
        <x:v>Média</x:v>
      </x:c>
      <x:c r="J51" s="15" t="str">
        <x:v>https://www.gov.br/conecta/catalogo/apis/rnds-rede-nacional-de-dados-em-saude</x:v>
      </x:c>
      <x:c r="K51" s="15" t="str"/>
      <x:c r="L51" s="15" t="str">
        <x:v>Integração formal, testes e produção.</x:v>
      </x:c>
      <x:c r="M51" s="15" t="str">
        <x:v>Backlog</x:v>
      </x:c>
    </x:row>
    <x:row r="52">
      <x:c r="A52" s="15" t="n">
        <x:v>51</x:v>
      </x:c>
      <x:c r="B52" s="15" t="str">
        <x:v>Federal</x:v>
      </x:c>
      <x:c r="C52" s="15" t="str">
        <x:v>Saúde</x:v>
      </x:c>
      <x:c r="D52" s="15" t="str">
        <x:v>Notificações de Síndrome Gripal</x:v>
      </x:c>
      <x:c r="E52" s="15" t="str">
        <x:v>Ministério da Saúde</x:v>
      </x:c>
      <x:c r="F52" s="15" t="str">
        <x:v>Dados epidemiológicos</x:v>
      </x:c>
      <x:c r="G52" s="15" t="str">
        <x:v>API</x:v>
      </x:c>
      <x:c r="H52" s="15" t="str">
        <x:v>Restrito/credencial</x:v>
      </x:c>
      <x:c r="I52" s="15" t="str">
        <x:v>Baixa</x:v>
      </x:c>
      <x:c r="J52" s="15" t="str">
        <x:v>https://www.gov.br/conecta/catalogo/apis/notificacoes-de-sindrome-gripal</x:v>
      </x:c>
      <x:c r="K52" s="15" t="str"/>
      <x:c r="L52" s="15" t="str"/>
      <x:c r="M52" s="15" t="str">
        <x:v>Backlog</x:v>
      </x:c>
    </x:row>
    <x:row r="53">
      <x:c r="A53" s="15" t="n">
        <x:v>52</x:v>
      </x:c>
      <x:c r="B53" s="15" t="str">
        <x:v>Federal</x:v>
      </x:c>
      <x:c r="C53" s="15" t="str">
        <x:v>Saúde</x:v>
      </x:c>
      <x:c r="D53" s="15" t="str">
        <x:v>Registro de Ocupação Hospitalar COVID-19</x:v>
      </x:c>
      <x:c r="E53" s="15" t="str">
        <x:v>Ministério da Saúde</x:v>
      </x:c>
      <x:c r="F53" s="15" t="str">
        <x:v>Ocupação hospitalar</x:v>
      </x:c>
      <x:c r="G53" s="15" t="str">
        <x:v>API</x:v>
      </x:c>
      <x:c r="H53" s="15" t="str">
        <x:v>Restrito/credencial</x:v>
      </x:c>
      <x:c r="I53" s="15" t="str">
        <x:v>Baixa</x:v>
      </x:c>
      <x:c r="J53" s="15" t="str">
        <x:v>https://www.gov.br/conecta/catalogo/apis/registro-de-ocupacao-hospitalar-covid-19</x:v>
      </x:c>
      <x:c r="K53" s="15" t="str"/>
      <x:c r="L53" s="15" t="str"/>
      <x:c r="M53" s="15" t="str">
        <x:v>Backlog</x:v>
      </x:c>
    </x:row>
    <x:row r="54">
      <x:c r="A54" s="15" t="n">
        <x:v>53</x:v>
      </x:c>
      <x:c r="B54" s="15" t="str">
        <x:v>Federal</x:v>
      </x:c>
      <x:c r="C54" s="15" t="str">
        <x:v>Orçamento</x:v>
      </x:c>
      <x:c r="D54" s="15" t="str">
        <x:v>Consulta Execução Orçamentária SIOP</x:v>
      </x:c>
      <x:c r="E54" s="15" t="str">
        <x:v>Ministério do Planejamento</x:v>
      </x:c>
      <x:c r="F54" s="15" t="str">
        <x:v>Execução orçamentária</x:v>
      </x:c>
      <x:c r="G54" s="15" t="str">
        <x:v>API</x:v>
      </x:c>
      <x:c r="H54" s="15" t="str">
        <x:v>Restrito/credencial</x:v>
      </x:c>
      <x:c r="I54" s="15" t="str">
        <x:v>Alta</x:v>
      </x:c>
      <x:c r="J54" s="15" t="str">
        <x:v>https://www.gov.br/conecta/catalogo/apis/consulta-execucao-orcamentaria-siop</x:v>
      </x:c>
      <x:c r="K54" s="15" t="str"/>
      <x:c r="L54" s="15" t="str"/>
      <x:c r="M54" s="15" t="str">
        <x:v>Backlog</x:v>
      </x:c>
    </x:row>
    <x:row r="55">
      <x:c r="A55" s="15" t="n">
        <x:v>54</x:v>
      </x:c>
      <x:c r="B55" s="15" t="str">
        <x:v>Federal</x:v>
      </x:c>
      <x:c r="C55" s="15" t="str">
        <x:v>Orçamento</x:v>
      </x:c>
      <x:c r="D55" s="15" t="str">
        <x:v>Alterações Orçamentárias SIOP</x:v>
      </x:c>
      <x:c r="E55" s="15" t="str">
        <x:v>Ministério do Planejamento</x:v>
      </x:c>
      <x:c r="F55" s="15" t="str">
        <x:v>Alterações orçamentárias</x:v>
      </x:c>
      <x:c r="G55" s="15" t="str">
        <x:v>API</x:v>
      </x:c>
      <x:c r="H55" s="15" t="str">
        <x:v>Restrito/credencial</x:v>
      </x:c>
      <x:c r="I55" s="15" t="str">
        <x:v>Média</x:v>
      </x:c>
      <x:c r="J55" s="15" t="str">
        <x:v>https://www.gov.br/conecta/catalogo/apis/alteracoes-orcamentarias-siop</x:v>
      </x:c>
      <x:c r="K55" s="15" t="str"/>
      <x:c r="L55" s="15" t="str"/>
      <x:c r="M55" s="15" t="str">
        <x:v>Backlog</x:v>
      </x:c>
    </x:row>
    <x:row r="56">
      <x:c r="A56" s="15" t="n">
        <x:v>55</x:v>
      </x:c>
      <x:c r="B56" s="15" t="str">
        <x:v>Federal</x:v>
      </x:c>
      <x:c r="C56" s="15" t="str">
        <x:v>Orçamento</x:v>
      </x:c>
      <x:c r="D56" s="15" t="str">
        <x:v>Acompanhamento da Execução das Empresas Estatais / SIOP</x:v>
      </x:c>
      <x:c r="E56" s="15" t="str">
        <x:v>Ministério do Planejamento</x:v>
      </x:c>
      <x:c r="F56" s="15" t="str">
        <x:v>Execução de estatais</x:v>
      </x:c>
      <x:c r="G56" s="15" t="str">
        <x:v>API</x:v>
      </x:c>
      <x:c r="H56" s="15" t="str">
        <x:v>Restrito/credencial</x:v>
      </x:c>
      <x:c r="I56" s="15" t="str">
        <x:v>Média</x:v>
      </x:c>
      <x:c r="J56" s="15" t="str">
        <x:v>https://www.gov.br/conecta/catalogo/apis/acompanhamento-da-execucao-das-empresas-estatais-siop</x:v>
      </x:c>
      <x:c r="K56" s="15" t="str"/>
      <x:c r="L56" s="15" t="str"/>
      <x:c r="M56" s="15" t="str">
        <x:v>Backlog</x:v>
      </x:c>
    </x:row>
    <x:row r="57">
      <x:c r="A57" s="15" t="n">
        <x:v>56</x:v>
      </x:c>
      <x:c r="B57" s="15" t="str">
        <x:v>Federal</x:v>
      </x:c>
      <x:c r="C57" s="15" t="str">
        <x:v>Orçamento</x:v>
      </x:c>
      <x:c r="D57" s="15" t="str">
        <x:v>Avaliação do PPA</x:v>
      </x:c>
      <x:c r="E57" s="15" t="str">
        <x:v>Ministério do Planejamento</x:v>
      </x:c>
      <x:c r="F57" s="15" t="str">
        <x:v>Avaliação do PPA</x:v>
      </x:c>
      <x:c r="G57" s="15" t="str">
        <x:v>API</x:v>
      </x:c>
      <x:c r="H57" s="15" t="str">
        <x:v>Restrito/credencial</x:v>
      </x:c>
      <x:c r="I57" s="15" t="str">
        <x:v>Baixa</x:v>
      </x:c>
      <x:c r="J57" s="15" t="str">
        <x:v>https://www.gov.br/conecta/catalogo/apis/avaliacao-do-ppa</x:v>
      </x:c>
      <x:c r="K57" s="15" t="str"/>
      <x:c r="L57" s="15" t="str"/>
      <x:c r="M57" s="15" t="str">
        <x:v>Backlog</x:v>
      </x:c>
    </x:row>
    <x:row r="58">
      <x:c r="A58" s="15" t="n">
        <x:v>57</x:v>
      </x:c>
      <x:c r="B58" s="15" t="str">
        <x:v>Federal</x:v>
      </x:c>
      <x:c r="C58" s="15" t="str">
        <x:v>Orçamento</x:v>
      </x:c>
      <x:c r="D58" s="15" t="str">
        <x:v>Monitoramento do PPA</x:v>
      </x:c>
      <x:c r="E58" s="15" t="str">
        <x:v>Ministério do Planejamento</x:v>
      </x:c>
      <x:c r="F58" s="15" t="str">
        <x:v>Monitoramento do PPA</x:v>
      </x:c>
      <x:c r="G58" s="15" t="str">
        <x:v>API</x:v>
      </x:c>
      <x:c r="H58" s="15" t="str">
        <x:v>Restrito/credencial</x:v>
      </x:c>
      <x:c r="I58" s="15" t="str">
        <x:v>Baixa</x:v>
      </x:c>
      <x:c r="J58" s="15" t="str">
        <x:v>https://www.gov.br/conecta/catalogo/apis/monitoramento-do-ppa</x:v>
      </x:c>
      <x:c r="K58" s="15" t="str"/>
      <x:c r="L58" s="15" t="str"/>
      <x:c r="M58" s="15" t="str">
        <x:v>Backlog</x:v>
      </x:c>
    </x:row>
    <x:row r="59">
      <x:c r="A59" s="15" t="n">
        <x:v>58</x:v>
      </x:c>
      <x:c r="B59" s="15" t="str">
        <x:v>Federal</x:v>
      </x:c>
      <x:c r="C59" s="15" t="str">
        <x:v>Orçamento</x:v>
      </x:c>
      <x:c r="D59" s="15" t="str">
        <x:v>Qualitativo do SIOP</x:v>
      </x:c>
      <x:c r="E59" s="15" t="str">
        <x:v>Ministério do Planejamento</x:v>
      </x:c>
      <x:c r="F59" s="15" t="str">
        <x:v>Dados qualitativos do orçamento</x:v>
      </x:c>
      <x:c r="G59" s="15" t="str">
        <x:v>API</x:v>
      </x:c>
      <x:c r="H59" s="15" t="str">
        <x:v>Restrito/credencial</x:v>
      </x:c>
      <x:c r="I59" s="15" t="str">
        <x:v>Média</x:v>
      </x:c>
      <x:c r="J59" s="15" t="str">
        <x:v>https://www.gov.br/conecta/catalogo/apis/qualitativo-do-siop</x:v>
      </x:c>
      <x:c r="K59" s="15" t="str"/>
      <x:c r="L59" s="15" t="str"/>
      <x:c r="M59" s="15" t="str">
        <x:v>Backlog</x:v>
      </x:c>
    </x:row>
    <x:row r="60">
      <x:c r="A60" s="15" t="n">
        <x:v>59</x:v>
      </x:c>
      <x:c r="B60" s="15" t="str">
        <x:v>Federal</x:v>
      </x:c>
      <x:c r="C60" s="15" t="str">
        <x:v>Orçamento</x:v>
      </x:c>
      <x:c r="D60" s="15" t="str">
        <x:v>Quantitativo do SIOP</x:v>
      </x:c>
      <x:c r="E60" s="15" t="str">
        <x:v>Ministério do Planejamento</x:v>
      </x:c>
      <x:c r="F60" s="15" t="str">
        <x:v>Dados quantitativos do orçamento</x:v>
      </x:c>
      <x:c r="G60" s="15" t="str">
        <x:v>API</x:v>
      </x:c>
      <x:c r="H60" s="15" t="str">
        <x:v>Restrito/credencial</x:v>
      </x:c>
      <x:c r="I60" s="15" t="str">
        <x:v>Média</x:v>
      </x:c>
      <x:c r="J60" s="15" t="str">
        <x:v>https://www.gov.br/conecta/catalogo/apis/quantitativo-do-siop</x:v>
      </x:c>
      <x:c r="K60" s="15" t="str"/>
      <x:c r="L60" s="15" t="str"/>
      <x:c r="M60" s="15" t="str">
        <x:v>Backlog</x:v>
      </x:c>
    </x:row>
    <x:row r="61">
      <x:c r="A61" s="15" t="n">
        <x:v>60</x:v>
      </x:c>
      <x:c r="B61" s="15" t="str">
        <x:v>Federal</x:v>
      </x:c>
      <x:c r="C61" s="15" t="str">
        <x:v>Orçamento</x:v>
      </x:c>
      <x:c r="D61" s="15" t="str">
        <x:v>Receitas do SIOP</x:v>
      </x:c>
      <x:c r="E61" s="15" t="str">
        <x:v>Ministério do Planejamento</x:v>
      </x:c>
      <x:c r="F61" s="15" t="str">
        <x:v>Receitas orçamentárias</x:v>
      </x:c>
      <x:c r="G61" s="15" t="str">
        <x:v>API</x:v>
      </x:c>
      <x:c r="H61" s="15" t="str">
        <x:v>Restrito/credencial</x:v>
      </x:c>
      <x:c r="I61" s="15" t="str">
        <x:v>Média</x:v>
      </x:c>
      <x:c r="J61" s="15" t="str">
        <x:v>https://www.gov.br/conecta/catalogo/apis/receitas-do-siop</x:v>
      </x:c>
      <x:c r="K61" s="15" t="str"/>
      <x:c r="L61" s="15" t="str"/>
      <x:c r="M61" s="15" t="str">
        <x:v>Backlog</x:v>
      </x:c>
    </x:row>
    <x:row r="62">
      <x:c r="A62" s="15" t="n">
        <x:v>61</x:v>
      </x:c>
      <x:c r="B62" s="15" t="str">
        <x:v>Federal</x:v>
      </x:c>
      <x:c r="C62" s="15" t="str">
        <x:v>Orçamento</x:v>
      </x:c>
      <x:c r="D62" s="15" t="str">
        <x:v>Precatórios do SIOP</x:v>
      </x:c>
      <x:c r="E62" s="15" t="str">
        <x:v>Ministério do Planejamento</x:v>
      </x:c>
      <x:c r="F62" s="15" t="str">
        <x:v>Precatórios</x:v>
      </x:c>
      <x:c r="G62" s="15" t="str">
        <x:v>API</x:v>
      </x:c>
      <x:c r="H62" s="15" t="str">
        <x:v>Restrito/credencial</x:v>
      </x:c>
      <x:c r="I62" s="15" t="str">
        <x:v>Baixa</x:v>
      </x:c>
      <x:c r="J62" s="15" t="str">
        <x:v>https://www.gov.br/conecta/catalogo/apis/precatorios-do-siop</x:v>
      </x:c>
      <x:c r="K62" s="15" t="str"/>
      <x:c r="L62" s="15" t="str"/>
      <x:c r="M62" s="15" t="str">
        <x:v>Backlog</x:v>
      </x:c>
    </x:row>
    <x:row r="63">
      <x:c r="A63" s="15" t="n">
        <x:v>62</x:v>
      </x:c>
      <x:c r="B63" s="15" t="str">
        <x:v>Federal</x:v>
      </x:c>
      <x:c r="C63" s="15" t="str">
        <x:v>Orçamento</x:v>
      </x:c>
      <x:c r="D63" s="15" t="str">
        <x:v>Emendas Individuais SIOP</x:v>
      </x:c>
      <x:c r="E63" s="15" t="str">
        <x:v>Ministério do Planejamento</x:v>
      </x:c>
      <x:c r="F63" s="15" t="str">
        <x:v>Emendas individuais</x:v>
      </x:c>
      <x:c r="G63" s="15" t="str">
        <x:v>API</x:v>
      </x:c>
      <x:c r="H63" s="15" t="str">
        <x:v>Restrito/credencial</x:v>
      </x:c>
      <x:c r="I63" s="15" t="str">
        <x:v>Média</x:v>
      </x:c>
      <x:c r="J63" s="15" t="str">
        <x:v>https://www.gov.br/conecta/catalogo/apis/emendas-individuais-siop</x:v>
      </x:c>
      <x:c r="K63" s="15" t="str"/>
      <x:c r="L63" s="15" t="str"/>
      <x:c r="M63" s="15" t="str">
        <x:v>Backlog</x:v>
      </x:c>
    </x:row>
    <x:row r="64">
      <x:c r="A64" s="15" t="n">
        <x:v>63</x:v>
      </x:c>
      <x:c r="B64" s="15" t="str">
        <x:v>Federal</x:v>
      </x:c>
      <x:c r="C64" s="15" t="str">
        <x:v>Orçamento</x:v>
      </x:c>
      <x:c r="D64" s="15" t="str">
        <x:v>SIOP / Gestão de Credencial de Acesso</x:v>
      </x:c>
      <x:c r="E64" s="15" t="str">
        <x:v>Ministério do Planejamento</x:v>
      </x:c>
      <x:c r="F64" s="15" t="str">
        <x:v>Gestão de credenciais</x:v>
      </x:c>
      <x:c r="G64" s="15" t="str">
        <x:v>API</x:v>
      </x:c>
      <x:c r="H64" s="15" t="str">
        <x:v>Restrito/credencial</x:v>
      </x:c>
      <x:c r="I64" s="15" t="str">
        <x:v>Baixa</x:v>
      </x:c>
      <x:c r="J64" s="15" t="str">
        <x:v>https://www.gov.br/conecta/catalogo/apis/siop-gestao-de-credencial-de-acesso</x:v>
      </x:c>
      <x:c r="K64" s="15" t="str"/>
      <x:c r="L64" s="15" t="str"/>
      <x:c r="M64" s="15" t="str">
        <x:v>Backlog</x:v>
      </x:c>
    </x:row>
    <x:row r="65">
      <x:c r="A65" s="15" t="n">
        <x:v>64</x:v>
      </x:c>
      <x:c r="B65" s="15" t="str">
        <x:v>Federal</x:v>
      </x:c>
      <x:c r="C65" s="15" t="str">
        <x:v>Financeiro público</x:v>
      </x:c>
      <x:c r="D65" s="15" t="str">
        <x:v>SIAFI / Consultar Tabelas Administrativas</x:v>
      </x:c>
      <x:c r="E65" s="15" t="str">
        <x:v>STN</x:v>
      </x:c>
      <x:c r="F65" s="15" t="str">
        <x:v>Tabelas administrativas SIAFI</x:v>
      </x:c>
      <x:c r="G65" s="15" t="str">
        <x:v>API</x:v>
      </x:c>
      <x:c r="H65" s="15" t="str">
        <x:v>Restrito/credencial</x:v>
      </x:c>
      <x:c r="I65" s="15" t="str">
        <x:v>Média</x:v>
      </x:c>
      <x:c r="J65" s="15" t="str">
        <x:v>https://www.gov.br/conecta/catalogo/apis/siafi-consultar-tabelas-administrativas</x:v>
      </x:c>
      <x:c r="K65" s="15" t="str"/>
      <x:c r="L65" s="15" t="str"/>
      <x:c r="M65" s="15" t="str">
        <x:v>Backlog</x:v>
      </x:c>
    </x:row>
    <x:row r="66">
      <x:c r="A66" s="15" t="n">
        <x:v>65</x:v>
      </x:c>
      <x:c r="B66" s="15" t="str">
        <x:v>Federal</x:v>
      </x:c>
      <x:c r="C66" s="15" t="str">
        <x:v>Financeiro público</x:v>
      </x:c>
      <x:c r="D66" s="15" t="str">
        <x:v>SIAFI / Manter Contas a Pagar e Receber</x:v>
      </x:c>
      <x:c r="E66" s="15" t="str">
        <x:v>STN</x:v>
      </x:c>
      <x:c r="F66" s="15" t="str">
        <x:v>Contas a pagar/receber</x:v>
      </x:c>
      <x:c r="G66" s="15" t="str">
        <x:v>API</x:v>
      </x:c>
      <x:c r="H66" s="15" t="str">
        <x:v>Restrito/credencial</x:v>
      </x:c>
      <x:c r="I66" s="15" t="str">
        <x:v>Baixa</x:v>
      </x:c>
      <x:c r="J66" s="15" t="str">
        <x:v>https://www.gov.br/conecta/catalogo/apis/siafi-manter-contas-a-pagar-e-receber</x:v>
      </x:c>
      <x:c r="K66" s="15" t="str"/>
      <x:c r="L66" s="15" t="str"/>
      <x:c r="M66" s="15" t="str">
        <x:v>Backlog</x:v>
      </x:c>
    </x:row>
    <x:row r="67">
      <x:c r="A67" s="15" t="n">
        <x:v>66</x:v>
      </x:c>
      <x:c r="B67" s="15" t="str">
        <x:v>Federal</x:v>
      </x:c>
      <x:c r="C67" s="15" t="str">
        <x:v>Financeiro público</x:v>
      </x:c>
      <x:c r="D67" s="15" t="str">
        <x:v>SIAFI / Manter Programação Financeira</x:v>
      </x:c>
      <x:c r="E67" s="15" t="str">
        <x:v>STN</x:v>
      </x:c>
      <x:c r="F67" s="15" t="str">
        <x:v>Programação financeira</x:v>
      </x:c>
      <x:c r="G67" s="15" t="str">
        <x:v>API</x:v>
      </x:c>
      <x:c r="H67" s="15" t="str">
        <x:v>Restrito/credencial</x:v>
      </x:c>
      <x:c r="I67" s="15" t="str">
        <x:v>Baixa</x:v>
      </x:c>
      <x:c r="J67" s="15" t="str">
        <x:v>https://www.gov.br/conecta/catalogo/apis/siafi-manter-programacao-financeira</x:v>
      </x:c>
      <x:c r="K67" s="15" t="str"/>
      <x:c r="L67" s="15" t="str"/>
      <x:c r="M67" s="15" t="str">
        <x:v>Backlog</x:v>
      </x:c>
    </x:row>
    <x:row r="68">
      <x:c r="A68" s="15" t="n">
        <x:v>67</x:v>
      </x:c>
      <x:c r="B68" s="15" t="str">
        <x:v>Federal</x:v>
      </x:c>
      <x:c r="C68" s="15" t="str">
        <x:v>Financeiro público</x:v>
      </x:c>
      <x:c r="D68" s="15" t="str">
        <x:v>SIAFI / Módulo Orçamentário</x:v>
      </x:c>
      <x:c r="E68" s="15" t="str">
        <x:v>STN</x:v>
      </x:c>
      <x:c r="F68" s="15" t="str">
        <x:v>Módulo orçamentário</x:v>
      </x:c>
      <x:c r="G68" s="15" t="str">
        <x:v>API</x:v>
      </x:c>
      <x:c r="H68" s="15" t="str">
        <x:v>Restrito/credencial</x:v>
      </x:c>
      <x:c r="I68" s="15" t="str">
        <x:v>Baixa</x:v>
      </x:c>
      <x:c r="J68" s="15" t="str">
        <x:v>https://www.gov.br/conecta/catalogo/apis/siafi-modulo-orcamentario</x:v>
      </x:c>
      <x:c r="K68" s="15" t="str"/>
      <x:c r="L68" s="15" t="str"/>
      <x:c r="M68" s="15" t="str">
        <x:v>Backlog</x:v>
      </x:c>
    </x:row>
    <x:row r="69">
      <x:c r="A69" s="15" t="n">
        <x:v>68</x:v>
      </x:c>
      <x:c r="B69" s="15" t="str">
        <x:v>Federal</x:v>
      </x:c>
      <x:c r="C69" s="15" t="str">
        <x:v>Financeiro público</x:v>
      </x:c>
      <x:c r="D69" s="15" t="str">
        <x:v>Integra Siafi / Nota de Crédito e de Dotação</x:v>
      </x:c>
      <x:c r="E69" s="15" t="str">
        <x:v>STN</x:v>
      </x:c>
      <x:c r="F69" s="15" t="str">
        <x:v>Notas de crédito e dotação</x:v>
      </x:c>
      <x:c r="G69" s="15" t="str">
        <x:v>API</x:v>
      </x:c>
      <x:c r="H69" s="15" t="str">
        <x:v>Restrito/credencial</x:v>
      </x:c>
      <x:c r="I69" s="15" t="str">
        <x:v>Baixa</x:v>
      </x:c>
      <x:c r="J69" s="15" t="str">
        <x:v>https://www.gov.br/conecta/catalogo/apis/integra-siafi-nota-de-credito-e-de-dotacao</x:v>
      </x:c>
      <x:c r="K69" s="15" t="str"/>
      <x:c r="L69" s="15" t="str"/>
      <x:c r="M69" s="15" t="str">
        <x:v>Backlog</x:v>
      </x:c>
    </x:row>
    <x:row r="70">
      <x:c r="A70" s="15" t="n">
        <x:v>69</x:v>
      </x:c>
      <x:c r="B70" s="15" t="str">
        <x:v>Federal</x:v>
      </x:c>
      <x:c r="C70" s="15" t="str">
        <x:v>Financeiro público</x:v>
      </x:c>
      <x:c r="D70" s="15" t="str">
        <x:v>SISGRU / Guia de Recolhimento da União</x:v>
      </x:c>
      <x:c r="E70" s="15" t="str">
        <x:v>STN</x:v>
      </x:c>
      <x:c r="F70" s="15" t="str">
        <x:v>GRU</x:v>
      </x:c>
      <x:c r="G70" s="15" t="str">
        <x:v>API</x:v>
      </x:c>
      <x:c r="H70" s="15" t="str">
        <x:v>Restrito/credencial</x:v>
      </x:c>
      <x:c r="I70" s="15" t="str">
        <x:v>Média</x:v>
      </x:c>
      <x:c r="J70" s="15" t="str">
        <x:v>https://www.gov.br/conecta/catalogo/apis/sisgru-guia-de-recolhimento-da-uniao</x:v>
      </x:c>
      <x:c r="K70" s="15" t="str"/>
      <x:c r="L70" s="15" t="str"/>
      <x:c r="M70" s="15" t="str">
        <x:v>Backlog</x:v>
      </x:c>
    </x:row>
    <x:row r="71">
      <x:c r="A71" s="15" t="n">
        <x:v>70</x:v>
      </x:c>
      <x:c r="B71" s="15" t="str">
        <x:v>Federal</x:v>
      </x:c>
      <x:c r="C71" s="15" t="str">
        <x:v>Pagamentos</x:v>
      </x:c>
      <x:c r="D71" s="15" t="str">
        <x:v>PagTesouro / Órgãos Arrecadadores</x:v>
      </x:c>
      <x:c r="E71" s="15" t="str">
        <x:v>STN</x:v>
      </x:c>
      <x:c r="F71" s="15" t="str">
        <x:v>Pagamentos para órgãos arrecadadores</x:v>
      </x:c>
      <x:c r="G71" s="15" t="str">
        <x:v>API</x:v>
      </x:c>
      <x:c r="H71" s="15" t="str">
        <x:v>Restrito/credencial</x:v>
      </x:c>
      <x:c r="I71" s="15" t="str">
        <x:v>Média</x:v>
      </x:c>
      <x:c r="J71" s="15" t="str">
        <x:v>https://www.gov.br/conecta/catalogo/apis/pagtesouro-orgaos-arrecadadores</x:v>
      </x:c>
      <x:c r="K71" s="15" t="str"/>
      <x:c r="L71" s="15" t="str"/>
      <x:c r="M71" s="15" t="str">
        <x:v>Backlog</x:v>
      </x:c>
    </x:row>
    <x:row r="72">
      <x:c r="A72" s="15" t="n">
        <x:v>71</x:v>
      </x:c>
      <x:c r="B72" s="15" t="str">
        <x:v>Federal</x:v>
      </x:c>
      <x:c r="C72" s="15" t="str">
        <x:v>Pagamentos</x:v>
      </x:c>
      <x:c r="D72" s="15" t="str">
        <x:v>PagTesouro / Prestadores de Serviços de Pagamentos</x:v>
      </x:c>
      <x:c r="E72" s="15" t="str">
        <x:v>STN</x:v>
      </x:c>
      <x:c r="F72" s="15" t="str">
        <x:v>Integração PSPs</x:v>
      </x:c>
      <x:c r="G72" s="15" t="str">
        <x:v>API</x:v>
      </x:c>
      <x:c r="H72" s="15" t="str">
        <x:v>Restrito/credencial</x:v>
      </x:c>
      <x:c r="I72" s="15" t="str">
        <x:v>Média</x:v>
      </x:c>
      <x:c r="J72" s="15" t="str">
        <x:v>https://www.gov.br/conecta/catalogo/apis/pagtesouro-prestadores-de-servicos-de-pagamentos</x:v>
      </x:c>
      <x:c r="K72" s="15" t="str"/>
      <x:c r="L72" s="15" t="str"/>
      <x:c r="M72" s="15" t="str">
        <x:v>Backlog</x:v>
      </x:c>
    </x:row>
    <x:row r="73">
      <x:c r="A73" s="15" t="n">
        <x:v>72</x:v>
      </x:c>
      <x:c r="B73" s="15" t="str">
        <x:v>Federal</x:v>
      </x:c>
      <x:c r="C73" s="15" t="str">
        <x:v>Contas públicas</x:v>
      </x:c>
      <x:c r="D73" s="15" t="str">
        <x:v>SICONFI / Extratos das declarações contábeis</x:v>
      </x:c>
      <x:c r="E73" s="15" t="str">
        <x:v>Tesouro Nacional</x:v>
      </x:c>
      <x:c r="F73" s="15" t="str">
        <x:v>Contas públicas de entes federativos</x:v>
      </x:c>
      <x:c r="G73" s="15" t="str">
        <x:v>REST/API</x:v>
      </x:c>
      <x:c r="H73" s="15" t="str">
        <x:v>Aberto</x:v>
      </x:c>
      <x:c r="I73" s="15" t="str">
        <x:v>Alta</x:v>
      </x:c>
      <x:c r="J73" s="15" t="str">
        <x:v>https://apidatalake.tesouro.gov.br/docs/siconfi/</x:v>
      </x:c>
      <x:c r="K73" s="15" t="str">
        <x:v>https://apidatalake.tesouro.gov.br/ords/siconfi/</x:v>
      </x:c>
      <x:c r="L73" s="15" t="str">
        <x:v>Muito útil para municípios/estados.</x:v>
      </x:c>
      <x:c r="M73" s="15" t="str">
        <x:v>Backlog</x:v>
      </x:c>
    </x:row>
    <x:row r="74">
      <x:c r="A74" s="15" t="n">
        <x:v>73</x:v>
      </x:c>
      <x:c r="B74" s="15" t="str">
        <x:v>Federal</x:v>
      </x:c>
      <x:c r="C74" s="15" t="str">
        <x:v>Dívida pública</x:v>
      </x:c>
      <x:c r="D74" s="15" t="str">
        <x:v>SADIPEM</x:v>
      </x:c>
      <x:c r="E74" s="15" t="str">
        <x:v>Tesouro Nacional</x:v>
      </x:c>
      <x:c r="F74" s="15" t="str">
        <x:v>Dívida pública, operações de crédito e garantias</x:v>
      </x:c>
      <x:c r="G74" s="15" t="str">
        <x:v>API/dados</x:v>
      </x:c>
      <x:c r="H74" s="15" t="str">
        <x:v>Aberto/restrito parcial</x:v>
      </x:c>
      <x:c r="I74" s="15" t="str">
        <x:v>Média</x:v>
      </x:c>
      <x:c r="J74" s="15" t="str">
        <x:v>https://www.tesourotransparente.gov.br/temas/estados-e-municipios/sadipem</x:v>
      </x:c>
      <x:c r="K74" s="15" t="str"/>
      <x:c r="L74" s="15" t="str"/>
      <x:c r="M74" s="15" t="str">
        <x:v>Backlog</x:v>
      </x:c>
    </x:row>
    <x:row r="75">
      <x:c r="A75" s="15" t="n">
        <x:v>74</x:v>
      </x:c>
      <x:c r="B75" s="15" t="str">
        <x:v>Federal</x:v>
      </x:c>
      <x:c r="C75" s="15" t="str">
        <x:v>Financiamento externo</x:v>
      </x:c>
      <x:c r="D75" s="15" t="str">
        <x:v>COFIEX</x:v>
      </x:c>
      <x:c r="E75" s="15" t="str">
        <x:v>Governo Federal</x:v>
      </x:c>
      <x:c r="F75" s="15" t="str">
        <x:v>Financiamentos externos</x:v>
      </x:c>
      <x:c r="G75" s="15" t="str">
        <x:v>API/dados</x:v>
      </x:c>
      <x:c r="H75" s="15" t="str">
        <x:v>Restrito/credencial</x:v>
      </x:c>
      <x:c r="I75" s="15" t="str">
        <x:v>Baixa</x:v>
      </x:c>
      <x:c r="J75" s="15" t="str">
        <x:v>https://www.gov.br/conecta/catalogo/apis/cofiex</x:v>
      </x:c>
      <x:c r="K75" s="15" t="str"/>
      <x:c r="L75" s="15" t="str"/>
      <x:c r="M75" s="15" t="str">
        <x:v>Backlog</x:v>
      </x:c>
    </x:row>
    <x:row r="76">
      <x:c r="A76" s="15" t="n">
        <x:v>75</x:v>
      </x:c>
      <x:c r="B76" s="15" t="str">
        <x:v>Federal</x:v>
      </x:c>
      <x:c r="C76" s="15" t="str">
        <x:v>Agro</x:v>
      </x:c>
      <x:c r="D76" s="15" t="str">
        <x:v>DAP / Declaração de Aptidão ao Pronaf</x:v>
      </x:c>
      <x:c r="E76" s="15" t="str">
        <x:v>MDA</x:v>
      </x:c>
      <x:c r="F76" s="15" t="str">
        <x:v>Agricultura familiar</x:v>
      </x:c>
      <x:c r="G76" s="15" t="str">
        <x:v>API</x:v>
      </x:c>
      <x:c r="H76" s="15" t="str">
        <x:v>Restrito/credencial</x:v>
      </x:c>
      <x:c r="I76" s="15" t="str">
        <x:v>Média</x:v>
      </x:c>
      <x:c r="J76" s="15" t="str">
        <x:v>https://www.gov.br/conecta/catalogo/apis/declaracao-de-aptidao-ao-pronaf-dap</x:v>
      </x:c>
      <x:c r="K76" s="15" t="str"/>
      <x:c r="L76" s="15" t="str"/>
      <x:c r="M76" s="15" t="str">
        <x:v>Backlog</x:v>
      </x:c>
    </x:row>
    <x:row r="77">
      <x:c r="A77" s="15" t="n">
        <x:v>76</x:v>
      </x:c>
      <x:c r="B77" s="15" t="str">
        <x:v>Federal</x:v>
      </x:c>
      <x:c r="C77" s="15" t="str">
        <x:v>Agro</x:v>
      </x:c>
      <x:c r="D77" s="15" t="str">
        <x:v>CAF / Cadastro Nacional da Agricultura Familiar / Serviços</x:v>
      </x:c>
      <x:c r="E77" s="15" t="str">
        <x:v>MDA</x:v>
      </x:c>
      <x:c r="F77" s="15" t="str">
        <x:v>Agricultura familiar</x:v>
      </x:c>
      <x:c r="G77" s="15" t="str">
        <x:v>API</x:v>
      </x:c>
      <x:c r="H77" s="15" t="str">
        <x:v>Restrito/credencial</x:v>
      </x:c>
      <x:c r="I77" s="15" t="str">
        <x:v>Média</x:v>
      </x:c>
      <x:c r="J77" s="15" t="str">
        <x:v>https://www.gov.br/conecta/catalogo/apis/caf-cadastro-nacional-da-agricultura-familiar-servicos</x:v>
      </x:c>
      <x:c r="K77" s="15" t="str"/>
      <x:c r="L77" s="15" t="str"/>
      <x:c r="M77" s="15" t="str">
        <x:v>Backlog</x:v>
      </x:c>
    </x:row>
    <x:row r="78">
      <x:c r="A78" s="15" t="n">
        <x:v>77</x:v>
      </x:c>
      <x:c r="B78" s="15" t="str">
        <x:v>Federal</x:v>
      </x:c>
      <x:c r="C78" s="15" t="str">
        <x:v>Agro</x:v>
      </x:c>
      <x:c r="D78" s="15" t="str">
        <x:v>CAF / Unidade Familiar / UFPA</x:v>
      </x:c>
      <x:c r="E78" s="15" t="str">
        <x:v>MDA</x:v>
      </x:c>
      <x:c r="F78" s="15" t="str">
        <x:v>Unidade familiar produtiva</x:v>
      </x:c>
      <x:c r="G78" s="15" t="str">
        <x:v>API</x:v>
      </x:c>
      <x:c r="H78" s="15" t="str">
        <x:v>Restrito/credencial</x:v>
      </x:c>
      <x:c r="I78" s="15" t="str">
        <x:v>Média</x:v>
      </x:c>
      <x:c r="J78" s="15" t="str">
        <x:v>https://www.gov.br/conecta/catalogo/apis/caf-unidade-familiar-ufpa</x:v>
      </x:c>
      <x:c r="K78" s="15" t="str"/>
      <x:c r="L78" s="15" t="str"/>
      <x:c r="M78" s="15" t="str">
        <x:v>Backlog</x:v>
      </x:c>
    </x:row>
    <x:row r="79">
      <x:c r="A79" s="15" t="n">
        <x:v>78</x:v>
      </x:c>
      <x:c r="B79" s="15" t="str">
        <x:v>Federal</x:v>
      </x:c>
      <x:c r="C79" s="15" t="str">
        <x:v>Agro</x:v>
      </x:c>
      <x:c r="D79" s="15" t="str">
        <x:v>CAF / Organização Produtiva</x:v>
      </x:c>
      <x:c r="E79" s="15" t="str">
        <x:v>MDA</x:v>
      </x:c>
      <x:c r="F79" s="15" t="str">
        <x:v>Organizações produtivas</x:v>
      </x:c>
      <x:c r="G79" s="15" t="str">
        <x:v>API</x:v>
      </x:c>
      <x:c r="H79" s="15" t="str">
        <x:v>Restrito/credencial</x:v>
      </x:c>
      <x:c r="I79" s="15" t="str">
        <x:v>Média</x:v>
      </x:c>
      <x:c r="J79" s="15" t="str">
        <x:v>https://www.gov.br/conecta/catalogo/apis/caf-organizacao-produtiva</x:v>
      </x:c>
      <x:c r="K79" s="15" t="str"/>
      <x:c r="L79" s="15" t="str"/>
      <x:c r="M79" s="15" t="str">
        <x:v>Backlog</x:v>
      </x:c>
    </x:row>
    <x:row r="80">
      <x:c r="A80" s="15" t="n">
        <x:v>79</x:v>
      </x:c>
      <x:c r="B80" s="15" t="str">
        <x:v>Federal</x:v>
      </x:c>
      <x:c r="C80" s="15" t="str">
        <x:v>Rural/Fundiário</x:v>
      </x:c>
      <x:c r="D80" s="15" t="str">
        <x:v>SNCR / Sistema Nacional de Cadastro Rural</x:v>
      </x:c>
      <x:c r="E80" s="15" t="str">
        <x:v>INCRA</x:v>
      </x:c>
      <x:c r="F80" s="15" t="str">
        <x:v>Cadastro rural</x:v>
      </x:c>
      <x:c r="G80" s="15" t="str">
        <x:v>API</x:v>
      </x:c>
      <x:c r="H80" s="15" t="str">
        <x:v>Restrito/credencial</x:v>
      </x:c>
      <x:c r="I80" s="15" t="str">
        <x:v>Média</x:v>
      </x:c>
      <x:c r="J80" s="15" t="str">
        <x:v>https://www.gov.br/conecta/catalogo/apis/sncr-sistema-nacional-de-cadastro-rural</x:v>
      </x:c>
      <x:c r="K80" s="15" t="str"/>
      <x:c r="L80" s="15" t="str"/>
      <x:c r="M80" s="15" t="str">
        <x:v>Backlog</x:v>
      </x:c>
    </x:row>
    <x:row r="81">
      <x:c r="A81" s="15" t="n">
        <x:v>80</x:v>
      </x:c>
      <x:c r="B81" s="15" t="str">
        <x:v>Federal</x:v>
      </x:c>
      <x:c r="C81" s="15" t="str">
        <x:v>Rural/Fundiário</x:v>
      </x:c>
      <x:c r="D81" s="15" t="str">
        <x:v>SIPRA / Beneficiários da Reforma Agrária</x:v>
      </x:c>
      <x:c r="E81" s="15" t="str">
        <x:v>INCRA</x:v>
      </x:c>
      <x:c r="F81" s="15" t="str">
        <x:v>Beneficiários da reforma agrária</x:v>
      </x:c>
      <x:c r="G81" s="15" t="str">
        <x:v>API</x:v>
      </x:c>
      <x:c r="H81" s="15" t="str">
        <x:v>Restrito/credencial</x:v>
      </x:c>
      <x:c r="I81" s="15" t="str">
        <x:v>Baixa</x:v>
      </x:c>
      <x:c r="J81" s="15" t="str">
        <x:v>https://www.gov.br/conecta/catalogo/apis/sipra-beneficiarios-da-reforma-agraria</x:v>
      </x:c>
      <x:c r="K81" s="15" t="str"/>
      <x:c r="L81" s="15" t="str"/>
      <x:c r="M81" s="15" t="str">
        <x:v>Backlog</x:v>
      </x:c>
    </x:row>
    <x:row r="82">
      <x:c r="A82" s="15" t="n">
        <x:v>81</x:v>
      </x:c>
      <x:c r="B82" s="15" t="str">
        <x:v>Federal</x:v>
      </x:c>
      <x:c r="C82" s="15" t="str">
        <x:v>Rural/Fundiário</x:v>
      </x:c>
      <x:c r="D82" s="15" t="str">
        <x:v>SNCCI / Créditos de Instalação</x:v>
      </x:c>
      <x:c r="E82" s="15" t="str">
        <x:v>INCRA</x:v>
      </x:c>
      <x:c r="F82" s="15" t="str">
        <x:v>Créditos de instalação</x:v>
      </x:c>
      <x:c r="G82" s="15" t="str">
        <x:v>API</x:v>
      </x:c>
      <x:c r="H82" s="15" t="str">
        <x:v>Restrito/credencial</x:v>
      </x:c>
      <x:c r="I82" s="15" t="str">
        <x:v>Baixa</x:v>
      </x:c>
      <x:c r="J82" s="15" t="str">
        <x:v>https://www.gov.br/conecta/catalogo/apis/sncci-creditos-de-instalacao</x:v>
      </x:c>
      <x:c r="K82" s="15" t="str"/>
      <x:c r="L82" s="15" t="str"/>
      <x:c r="M82" s="15" t="str">
        <x:v>Backlog</x:v>
      </x:c>
    </x:row>
    <x:row r="83">
      <x:c r="A83" s="15" t="n">
        <x:v>82</x:v>
      </x:c>
      <x:c r="B83" s="15" t="str">
        <x:v>Federal</x:v>
      </x:c>
      <x:c r="C83" s="15" t="str">
        <x:v>Rural/Fundiário</x:v>
      </x:c>
      <x:c r="D83" s="15" t="str">
        <x:v>SIGEF GEO</x:v>
      </x:c>
      <x:c r="E83" s="15" t="str">
        <x:v>INCRA</x:v>
      </x:c>
      <x:c r="F83" s="15" t="str">
        <x:v>Dados georreferenciados de imóveis rurais</x:v>
      </x:c>
      <x:c r="G83" s="15" t="str">
        <x:v>API/Geo</x:v>
      </x:c>
      <x:c r="H83" s="15" t="str">
        <x:v>Aberto/restrito parcial</x:v>
      </x:c>
      <x:c r="I83" s="15" t="str">
        <x:v>Média</x:v>
      </x:c>
      <x:c r="J83" s="15" t="str">
        <x:v>https://www.gov.br/conecta/catalogo/apis/sigef-geo</x:v>
      </x:c>
      <x:c r="K83" s="15" t="str"/>
      <x:c r="L83" s="15" t="str"/>
      <x:c r="M83" s="15" t="str">
        <x:v>Backlog</x:v>
      </x:c>
    </x:row>
    <x:row r="84">
      <x:c r="A84" s="15" t="n">
        <x:v>83</x:v>
      </x:c>
      <x:c r="B84" s="15" t="str">
        <x:v>Federal</x:v>
      </x:c>
      <x:c r="C84" s="15" t="str">
        <x:v>Conflitos agrários</x:v>
      </x:c>
      <x:c r="D84" s="15" t="str">
        <x:v>CTCA / Controle de Tensões e Conflitos Agrários</x:v>
      </x:c>
      <x:c r="E84" s="15" t="str">
        <x:v>INCRA</x:v>
      </x:c>
      <x:c r="F84" s="15" t="str">
        <x:v>Conflitos agrários</x:v>
      </x:c>
      <x:c r="G84" s="15" t="str">
        <x:v>API</x:v>
      </x:c>
      <x:c r="H84" s="15" t="str">
        <x:v>Restrito/credencial</x:v>
      </x:c>
      <x:c r="I84" s="15" t="str">
        <x:v>Baixa</x:v>
      </x:c>
      <x:c r="J84" s="15" t="str">
        <x:v>https://www.gov.br/conecta/catalogo/apis/ctca-controle-de-tensoes-e-conflitos-agrarios</x:v>
      </x:c>
      <x:c r="K84" s="15" t="str"/>
      <x:c r="L84" s="15" t="str"/>
      <x:c r="M84" s="15" t="str">
        <x:v>Backlog</x:v>
      </x:c>
    </x:row>
    <x:row r="85">
      <x:c r="A85" s="15" t="n">
        <x:v>84</x:v>
      </x:c>
      <x:c r="B85" s="15" t="str">
        <x:v>Federal</x:v>
      </x:c>
      <x:c r="C85" s="15" t="str">
        <x:v>Ambiental/Rural</x:v>
      </x:c>
      <x:c r="D85" s="15" t="str">
        <x:v>SICAR Demonstrativo</x:v>
      </x:c>
      <x:c r="E85" s="15" t="str">
        <x:v>SFB/MMA</x:v>
      </x:c>
      <x:c r="F85" s="15" t="str">
        <x:v>CAR demonstrativo</x:v>
      </x:c>
      <x:c r="G85" s="15" t="str">
        <x:v>API</x:v>
      </x:c>
      <x:c r="H85" s="15" t="str">
        <x:v>Restrito/credencial</x:v>
      </x:c>
      <x:c r="I85" s="15" t="str">
        <x:v>Média</x:v>
      </x:c>
      <x:c r="J85" s="15" t="str">
        <x:v>https://www.gov.br/conecta/catalogo/apis/sicar-demonstrativo</x:v>
      </x:c>
      <x:c r="K85" s="15" t="str"/>
      <x:c r="L85" s="15" t="str"/>
      <x:c r="M85" s="15" t="str">
        <x:v>Backlog</x:v>
      </x:c>
    </x:row>
    <x:row r="86">
      <x:c r="A86" s="15" t="n">
        <x:v>85</x:v>
      </x:c>
      <x:c r="B86" s="15" t="str">
        <x:v>Federal</x:v>
      </x:c>
      <x:c r="C86" s="15" t="str">
        <x:v>Ambiental/Rural</x:v>
      </x:c>
      <x:c r="D86" s="15" t="str">
        <x:v>SICAR Tema</x:v>
      </x:c>
      <x:c r="E86" s="15" t="str">
        <x:v>SFB/MMA</x:v>
      </x:c>
      <x:c r="F86" s="15" t="str">
        <x:v>Temas do imóvel rural</x:v>
      </x:c>
      <x:c r="G86" s="15" t="str">
        <x:v>API</x:v>
      </x:c>
      <x:c r="H86" s="15" t="str">
        <x:v>Restrito/credencial</x:v>
      </x:c>
      <x:c r="I86" s="15" t="str">
        <x:v>Média</x:v>
      </x:c>
      <x:c r="J86" s="15" t="str">
        <x:v>https://www.gov.br/conecta/catalogo/apis/sicar-tema</x:v>
      </x:c>
      <x:c r="K86" s="15" t="str"/>
      <x:c r="L86" s="15" t="str"/>
      <x:c r="M86" s="15" t="str">
        <x:v>Backlog</x:v>
      </x:c>
    </x:row>
    <x:row r="87">
      <x:c r="A87" s="15" t="n">
        <x:v>86</x:v>
      </x:c>
      <x:c r="B87" s="15" t="str">
        <x:v>Federal</x:v>
      </x:c>
      <x:c r="C87" s="15" t="str">
        <x:v>Ambiental/Rural</x:v>
      </x:c>
      <x:c r="D87" s="15" t="str">
        <x:v>SICAR Imóvel</x:v>
      </x:c>
      <x:c r="E87" s="15" t="str">
        <x:v>SFB/MMA</x:v>
      </x:c>
      <x:c r="F87" s="15" t="str">
        <x:v>Dados de imóvel rural CAR</x:v>
      </x:c>
      <x:c r="G87" s="15" t="str">
        <x:v>API</x:v>
      </x:c>
      <x:c r="H87" s="15" t="str">
        <x:v>Restrito/credencial</x:v>
      </x:c>
      <x:c r="I87" s="15" t="str">
        <x:v>Média</x:v>
      </x:c>
      <x:c r="J87" s="15" t="str">
        <x:v>https://www.gov.br/conecta/catalogo/apis/sicar-imovel</x:v>
      </x:c>
      <x:c r="K87" s="15" t="str"/>
      <x:c r="L87" s="15" t="str"/>
      <x:c r="M87" s="15" t="str">
        <x:v>Backlog</x:v>
      </x:c>
    </x:row>
    <x:row r="88">
      <x:c r="A88" s="15" t="n">
        <x:v>87</x:v>
      </x:c>
      <x:c r="B88" s="15" t="str">
        <x:v>Federal</x:v>
      </x:c>
      <x:c r="C88" s="15" t="str">
        <x:v>Ambiental/Rural</x:v>
      </x:c>
      <x:c r="D88" s="15" t="str">
        <x:v>Consulta SICAR CPF/CNPJ</x:v>
      </x:c>
      <x:c r="E88" s="15" t="str">
        <x:v>SFB/MMA</x:v>
      </x:c>
      <x:c r="F88" s="15" t="str">
        <x:v>Consulta CAR por CPF/CNPJ</x:v>
      </x:c>
      <x:c r="G88" s="15" t="str">
        <x:v>API</x:v>
      </x:c>
      <x:c r="H88" s="15" t="str">
        <x:v>Restrito/credencial</x:v>
      </x:c>
      <x:c r="I88" s="15" t="str">
        <x:v>Média</x:v>
      </x:c>
      <x:c r="J88" s="15" t="str">
        <x:v>https://www.gov.br/conecta/catalogo/apis/consulta-sicar-cpf-cnpj</x:v>
      </x:c>
      <x:c r="K88" s="15" t="str"/>
      <x:c r="L88" s="15" t="str">
        <x:v>Dados pessoais/empresariais, verificar base legal.</x:v>
      </x:c>
      <x:c r="M88" s="15" t="str">
        <x:v>Backlog</x:v>
      </x:c>
    </x:row>
    <x:row r="89">
      <x:c r="A89" s="15" t="n">
        <x:v>88</x:v>
      </x:c>
      <x:c r="B89" s="15" t="str">
        <x:v>Federal</x:v>
      </x:c>
      <x:c r="C89" s="15" t="str">
        <x:v>Ouvidoria</x:v>
      </x:c>
      <x:c r="D89" s="15" t="str">
        <x:v>Fala.BR / Ouvidorias</x:v>
      </x:c>
      <x:c r="E89" s="15" t="str">
        <x:v>CGU</x:v>
      </x:c>
      <x:c r="F89" s="15" t="str">
        <x:v>Ouvidoria e manifestações</x:v>
      </x:c>
      <x:c r="G89" s="15" t="str">
        <x:v>API</x:v>
      </x:c>
      <x:c r="H89" s="15" t="str">
        <x:v>Restrito/credencial</x:v>
      </x:c>
      <x:c r="I89" s="15" t="str">
        <x:v>Baixa</x:v>
      </x:c>
      <x:c r="J89" s="15" t="str">
        <x:v>https://www.gov.br/conecta/catalogo/apis/fala-br-ouvidorias</x:v>
      </x:c>
      <x:c r="K89" s="15" t="str"/>
      <x:c r="L89" s="15" t="str"/>
      <x:c r="M89" s="15" t="str">
        <x:v>Backlog</x:v>
      </x:c>
    </x:row>
    <x:row r="90">
      <x:c r="A90" s="15" t="n">
        <x:v>89</x:v>
      </x:c>
      <x:c r="B90" s="15" t="str">
        <x:v>Federal</x:v>
      </x:c>
      <x:c r="C90" s="15" t="str">
        <x:v>Controle</x:v>
      </x:c>
      <x:c r="D90" s="15" t="str">
        <x:v>Sistema e-Aud de Auditorias da CGU</x:v>
      </x:c>
      <x:c r="E90" s="15" t="str">
        <x:v>CGU</x:v>
      </x:c>
      <x:c r="F90" s="15" t="str">
        <x:v>Auditorias governamentais</x:v>
      </x:c>
      <x:c r="G90" s="15" t="str">
        <x:v>API</x:v>
      </x:c>
      <x:c r="H90" s="15" t="str">
        <x:v>Restrito/credencial</x:v>
      </x:c>
      <x:c r="I90" s="15" t="str">
        <x:v>Baixa</x:v>
      </x:c>
      <x:c r="J90" s="15" t="str">
        <x:v>https://www.gov.br/conecta/catalogo/apis/sistema-e-aud-de-auditorias-da-cgu</x:v>
      </x:c>
      <x:c r="K90" s="15" t="str"/>
      <x:c r="L90" s="15" t="str"/>
      <x:c r="M90" s="15" t="str">
        <x:v>Backlog</x:v>
      </x:c>
    </x:row>
    <x:row r="91">
      <x:c r="A91" s="15" t="n">
        <x:v>90</x:v>
      </x:c>
      <x:c r="B91" s="15" t="str">
        <x:v>Federal</x:v>
      </x:c>
      <x:c r="C91" s="15" t="str">
        <x:v>Serviços públicos</x:v>
      </x:c>
      <x:c r="D91" s="15" t="str">
        <x:v>Acompanhamento de Serviço Público Digital</x:v>
      </x:c>
      <x:c r="E91" s="15" t="str">
        <x:v>Governo Federal</x:v>
      </x:c>
      <x:c r="F91" s="15" t="str">
        <x:v>Acompanhamento de serviços digitais</x:v>
      </x:c>
      <x:c r="G91" s="15" t="str">
        <x:v>API</x:v>
      </x:c>
      <x:c r="H91" s="15" t="str">
        <x:v>Restrito/credencial</x:v>
      </x:c>
      <x:c r="I91" s="15" t="str">
        <x:v>Baixa</x:v>
      </x:c>
      <x:c r="J91" s="15" t="str">
        <x:v>https://www.gov.br/conecta/catalogo/apis/acompanhamento-de-servico-publico-digital</x:v>
      </x:c>
      <x:c r="K91" s="15" t="str"/>
      <x:c r="L91" s="15" t="str"/>
      <x:c r="M91" s="15" t="str">
        <x:v>Backlog</x:v>
      </x:c>
    </x:row>
    <x:row r="92">
      <x:c r="A92" s="15" t="n">
        <x:v>91</x:v>
      </x:c>
      <x:c r="B92" s="15" t="str">
        <x:v>Federal</x:v>
      </x:c>
      <x:c r="C92" s="15" t="str">
        <x:v>Serviços públicos</x:v>
      </x:c>
      <x:c r="D92" s="15" t="str">
        <x:v>Avaliação da Satisfação com Serviços Públicos Digitais</x:v>
      </x:c>
      <x:c r="E92" s="15" t="str">
        <x:v>Governo Federal</x:v>
      </x:c>
      <x:c r="F92" s="15" t="str">
        <x:v>Satisfação dos usuários de serviços</x:v>
      </x:c>
      <x:c r="G92" s="15" t="str">
        <x:v>API</x:v>
      </x:c>
      <x:c r="H92" s="15" t="str">
        <x:v>Restrito/credencial</x:v>
      </x:c>
      <x:c r="I92" s="15" t="str">
        <x:v>Baixa</x:v>
      </x:c>
      <x:c r="J92" s="15" t="str">
        <x:v>https://www.gov.br/conecta/catalogo/apis/avaliacao-da-satisfacao-com-servicos-publicos-digitais</x:v>
      </x:c>
      <x:c r="K92" s="15" t="str"/>
      <x:c r="L92" s="15" t="str"/>
      <x:c r="M92" s="15" t="str">
        <x:v>Backlog</x:v>
      </x:c>
    </x:row>
    <x:row r="93">
      <x:c r="A93" s="15" t="n">
        <x:v>92</x:v>
      </x:c>
      <x:c r="B93" s="15" t="str">
        <x:v>Federal</x:v>
      </x:c>
      <x:c r="C93" s="15" t="str">
        <x:v>Serviços públicos</x:v>
      </x:c>
      <x:c r="D93" s="15" t="str">
        <x:v>API de Serviços</x:v>
      </x:c>
      <x:c r="E93" s="15" t="str">
        <x:v>Governo Federal</x:v>
      </x:c>
      <x:c r="F93" s="15" t="str">
        <x:v>Serviços publicados no gov.br</x:v>
      </x:c>
      <x:c r="G93" s="15" t="str">
        <x:v>API</x:v>
      </x:c>
      <x:c r="H93" s="15" t="str">
        <x:v>Aberto/restrito parcial</x:v>
      </x:c>
      <x:c r="I93" s="15" t="str">
        <x:v>Alta</x:v>
      </x:c>
      <x:c r="J93" s="15" t="str">
        <x:v>https://www.gov.br/conecta/catalogo/apis/api-de-servicos</x:v>
      </x:c>
      <x:c r="K93" s="15" t="str"/>
      <x:c r="L93" s="15" t="str"/>
      <x:c r="M93" s="15" t="str">
        <x:v>Backlog</x:v>
      </x:c>
    </x:row>
    <x:row r="94">
      <x:c r="A94" s="15" t="n">
        <x:v>93</x:v>
      </x:c>
      <x:c r="B94" s="15" t="str">
        <x:v>Federal</x:v>
      </x:c>
      <x:c r="C94" s="15" t="str">
        <x:v>Serviços públicos</x:v>
      </x:c>
      <x:c r="D94" s="15" t="str">
        <x:v>API dos Serviços Estaduais</x:v>
      </x:c>
      <x:c r="E94" s="15" t="str">
        <x:v>Governo Federal/Estados</x:v>
      </x:c>
      <x:c r="F94" s="15" t="str">
        <x:v>Catálogo de serviços estaduais</x:v>
      </x:c>
      <x:c r="G94" s="15" t="str">
        <x:v>API</x:v>
      </x:c>
      <x:c r="H94" s="15" t="str">
        <x:v>Aberto/restrito parcial</x:v>
      </x:c>
      <x:c r="I94" s="15" t="str">
        <x:v>Média</x:v>
      </x:c>
      <x:c r="J94" s="15" t="str">
        <x:v>https://www.gov.br/conecta/catalogo/apis/api-dos-servicos-estaduais</x:v>
      </x:c>
      <x:c r="K94" s="15" t="str"/>
      <x:c r="L94" s="15" t="str"/>
      <x:c r="M94" s="15" t="str">
        <x:v>Backlog</x:v>
      </x:c>
    </x:row>
    <x:row r="95">
      <x:c r="A95" s="15" t="n">
        <x:v>94</x:v>
      </x:c>
      <x:c r="B95" s="15" t="str">
        <x:v>Federal</x:v>
      </x:c>
      <x:c r="C95" s="15" t="str">
        <x:v>Diário Oficial</x:v>
      </x:c>
      <x:c r="D95" s="15" t="str">
        <x:v>Publicar no Diário Oficial da União / DOU</x:v>
      </x:c>
      <x:c r="E95" s="15" t="str">
        <x:v>IN/Imprensa Nacional</x:v>
      </x:c>
      <x:c r="F95" s="15" t="str">
        <x:v>Publicação no DOU</x:v>
      </x:c>
      <x:c r="G95" s="15" t="str">
        <x:v>API</x:v>
      </x:c>
      <x:c r="H95" s="15" t="str">
        <x:v>Restrito/credencial</x:v>
      </x:c>
      <x:c r="I95" s="15" t="str">
        <x:v>Baixa</x:v>
      </x:c>
      <x:c r="J95" s="15" t="str">
        <x:v>https://www.gov.br/conecta/catalogo/apis/publicar-no-diario-oficial-da-uniao-dou</x:v>
      </x:c>
      <x:c r="K95" s="15" t="str"/>
      <x:c r="L95" s="15" t="str"/>
      <x:c r="M95" s="15" t="str">
        <x:v>Backlog</x:v>
      </x:c>
    </x:row>
    <x:row r="96">
      <x:c r="A96" s="15" t="n">
        <x:v>95</x:v>
      </x:c>
      <x:c r="B96" s="15" t="str">
        <x:v>Federal</x:v>
      </x:c>
      <x:c r="C96" s="15" t="str">
        <x:v>Segurança</x:v>
      </x:c>
      <x:c r="D96" s="15" t="str">
        <x:v>Certidão de Antecedentes Criminais</x:v>
      </x:c>
      <x:c r="E96" s="15" t="str">
        <x:v>Polícia Federal</x:v>
      </x:c>
      <x:c r="F96" s="15" t="str">
        <x:v>Antecedentes criminais</x:v>
      </x:c>
      <x:c r="G96" s="15" t="str">
        <x:v>API</x:v>
      </x:c>
      <x:c r="H96" s="15" t="str">
        <x:v>Restrito/credencial</x:v>
      </x:c>
      <x:c r="I96" s="15" t="str">
        <x:v>Baixa</x:v>
      </x:c>
      <x:c r="J96" s="15" t="str">
        <x:v>https://www.gov.br/conecta/catalogo/apis/certidao-de-antecedentes-criminais</x:v>
      </x:c>
      <x:c r="K96" s="15" t="str"/>
      <x:c r="L96" s="15" t="str">
        <x:v>Dado sensível; cuidado extremo.</x:v>
      </x:c>
      <x:c r="M96" s="15" t="str">
        <x:v>Backlog</x:v>
      </x:c>
    </x:row>
    <x:row r="97">
      <x:c r="A97" s="15" t="n">
        <x:v>96</x:v>
      </x:c>
      <x:c r="B97" s="15" t="str">
        <x:v>Federal</x:v>
      </x:c>
      <x:c r="C97" s="15" t="str">
        <x:v>Defesa</x:v>
      </x:c>
      <x:c r="D97" s="15" t="str">
        <x:v>Situação Militar</x:v>
      </x:c>
      <x:c r="E97" s="15" t="str">
        <x:v>Ministério da Defesa</x:v>
      </x:c>
      <x:c r="F97" s="15" t="str">
        <x:v>Situação militar</x:v>
      </x:c>
      <x:c r="G97" s="15" t="str">
        <x:v>API</x:v>
      </x:c>
      <x:c r="H97" s="15" t="str">
        <x:v>Restrito/credencial</x:v>
      </x:c>
      <x:c r="I97" s="15" t="str">
        <x:v>Baixa</x:v>
      </x:c>
      <x:c r="J97" s="15" t="str">
        <x:v>https://www.gov.br/conecta/catalogo/apis/situacao-militar</x:v>
      </x:c>
      <x:c r="K97" s="15" t="str"/>
      <x:c r="L97" s="15" t="str"/>
      <x:c r="M97" s="15" t="str">
        <x:v>Backlog</x:v>
      </x:c>
    </x:row>
    <x:row r="98">
      <x:c r="A98" s="15" t="n">
        <x:v>97</x:v>
      </x:c>
      <x:c r="B98" s="15" t="str">
        <x:v>Federal</x:v>
      </x:c>
      <x:c r="C98" s="15" t="str">
        <x:v>Trânsito</x:v>
      </x:c>
      <x:c r="D98" s="15" t="str">
        <x:v>WSDenatran / Veículos, Condutores e Infrações</x:v>
      </x:c>
      <x:c r="E98" s="15" t="str">
        <x:v>SENATRAN</x:v>
      </x:c>
      <x:c r="F98" s="15" t="str">
        <x:v>Veículos, CNH e infrações</x:v>
      </x:c>
      <x:c r="G98" s="15" t="str">
        <x:v>SOAP/API</x:v>
      </x:c>
      <x:c r="H98" s="15" t="str">
        <x:v>Restrito/credencial</x:v>
      </x:c>
      <x:c r="I98" s="15" t="str">
        <x:v>Média</x:v>
      </x:c>
      <x:c r="J98" s="15" t="str">
        <x:v>https://www.gov.br/conecta/catalogo/apis/wsdenatran</x:v>
      </x:c>
      <x:c r="K98" s="15" t="str"/>
      <x:c r="L98" s="15" t="str">
        <x:v>Dados sensíveis e forte controle de acesso.</x:v>
      </x:c>
      <x:c r="M98" s="15" t="str">
        <x:v>Backlog</x:v>
      </x:c>
    </x:row>
    <x:row r="99">
      <x:c r="A99" s="15" t="n">
        <x:v>98</x:v>
      </x:c>
      <x:c r="B99" s="15" t="str">
        <x:v>Federal</x:v>
      </x:c>
      <x:c r="C99" s="15" t="str">
        <x:v>Concorrência</x:v>
      </x:c>
      <x:c r="D99" s="15" t="str">
        <x:v>Consultar Ato de Concentração</x:v>
      </x:c>
      <x:c r="E99" s="15" t="str">
        <x:v>CADE</x:v>
      </x:c>
      <x:c r="F99" s="15" t="str">
        <x:v>Atos de concentração</x:v>
      </x:c>
      <x:c r="G99" s="15" t="str">
        <x:v>API</x:v>
      </x:c>
      <x:c r="H99" s="15" t="str">
        <x:v>Aberto/restrito parcial</x:v>
      </x:c>
      <x:c r="I99" s="15" t="str">
        <x:v>Baixa</x:v>
      </x:c>
      <x:c r="J99" s="15" t="str">
        <x:v>https://www.gov.br/conecta/catalogo/apis/consultar-ato-de-concentracao</x:v>
      </x:c>
      <x:c r="K99" s="15" t="str"/>
      <x:c r="L99" s="15" t="str"/>
      <x:c r="M99" s="15" t="str">
        <x:v>Backlog</x:v>
      </x:c>
    </x:row>
    <x:row r="100">
      <x:c r="A100" s="15" t="n">
        <x:v>99</x:v>
      </x:c>
      <x:c r="B100" s="15" t="str">
        <x:v>Federal</x:v>
      </x:c>
      <x:c r="C100" s="15" t="str">
        <x:v>Concorrência</x:v>
      </x:c>
      <x:c r="D100" s="15" t="str">
        <x:v>Consultar Acordo em Apuração de Ato de Concentração</x:v>
      </x:c>
      <x:c r="E100" s="15" t="str">
        <x:v>CADE</x:v>
      </x:c>
      <x:c r="F100" s="15" t="str">
        <x:v>Acordos relacionados a atos de concentração</x:v>
      </x:c>
      <x:c r="G100" s="15" t="str">
        <x:v>API</x:v>
      </x:c>
      <x:c r="H100" s="15" t="str">
        <x:v>Aberto/restrito parcial</x:v>
      </x:c>
      <x:c r="I100" s="15" t="str">
        <x:v>Baixa</x:v>
      </x:c>
      <x:c r="J100" s="15" t="str">
        <x:v>https://www.gov.br/conecta/catalogo/apis/consultar-acordo-em-apuracao-de-ato-de-concentracao</x:v>
      </x:c>
      <x:c r="K100" s="15" t="str"/>
      <x:c r="L100" s="15" t="str"/>
      <x:c r="M100" s="15" t="str">
        <x:v>Backlog</x:v>
      </x:c>
    </x:row>
    <x:row r="101">
      <x:c r="A101" s="15" t="n">
        <x:v>100</x:v>
      </x:c>
      <x:c r="B101" s="15" t="str">
        <x:v>Federal</x:v>
      </x:c>
      <x:c r="C101" s="15" t="str">
        <x:v>Concorrência</x:v>
      </x:c>
      <x:c r="D101" s="15" t="str">
        <x:v>Consulta de Condutas Anticompetitivas</x:v>
      </x:c>
      <x:c r="E101" s="15" t="str">
        <x:v>CADE</x:v>
      </x:c>
      <x:c r="F101" s="15" t="str">
        <x:v>Condutas anticompetitivas</x:v>
      </x:c>
      <x:c r="G101" s="15" t="str">
        <x:v>API</x:v>
      </x:c>
      <x:c r="H101" s="15" t="str">
        <x:v>Aberto/restrito parcial</x:v>
      </x:c>
      <x:c r="I101" s="15" t="str">
        <x:v>Baixa</x:v>
      </x:c>
      <x:c r="J101" s="15" t="str">
        <x:v>https://www.gov.br/conecta/catalogo/apis/consulta-de-condutas-anticompetitivas</x:v>
      </x:c>
      <x:c r="K101" s="15" t="str"/>
      <x:c r="L101" s="15" t="str"/>
      <x:c r="M101" s="15" t="str">
        <x:v>Backlog</x:v>
      </x:c>
    </x:row>
    <x:row r="102">
      <x:c r="A102" s="15" t="n">
        <x:v>101</x:v>
      </x:c>
      <x:c r="B102" s="15" t="str">
        <x:v>Federal</x:v>
      </x:c>
      <x:c r="C102" s="15" t="str">
        <x:v>Concorrência</x:v>
      </x:c>
      <x:c r="D102" s="15" t="str">
        <x:v>Termo de Compromisso de Cessação / TCC</x:v>
      </x:c>
      <x:c r="E102" s="15" t="str">
        <x:v>CADE</x:v>
      </x:c>
      <x:c r="F102" s="15" t="str">
        <x:v>TCCs no CADE</x:v>
      </x:c>
      <x:c r="G102" s="15" t="str">
        <x:v>API</x:v>
      </x:c>
      <x:c r="H102" s="15" t="str">
        <x:v>Aberto/restrito parcial</x:v>
      </x:c>
      <x:c r="I102" s="15" t="str">
        <x:v>Baixa</x:v>
      </x:c>
      <x:c r="J102" s="15" t="str">
        <x:v>https://www.gov.br/conecta/catalogo/apis/termo-de-compromisso-de-cessacao-tcc</x:v>
      </x:c>
      <x:c r="K102" s="15" t="str"/>
      <x:c r="L102" s="15" t="str"/>
      <x:c r="M102" s="15" t="str">
        <x:v>Backlog</x:v>
      </x:c>
    </x:row>
    <x:row r="103">
      <x:c r="A103" s="15" t="n">
        <x:v>102</x:v>
      </x:c>
      <x:c r="B103" s="15" t="str">
        <x:v>Federal</x:v>
      </x:c>
      <x:c r="C103" s="15" t="str">
        <x:v>Justiça</x:v>
      </x:c>
      <x:c r="D103" s="15" t="str">
        <x:v>Consulta ao Tribunal</x:v>
      </x:c>
      <x:c r="E103" s="15" t="str">
        <x:v>Governo Federal/Judiciário</x:v>
      </x:c>
      <x:c r="F103" s="15" t="str">
        <x:v>Dados de tribunal</x:v>
      </x:c>
      <x:c r="G103" s="15" t="str">
        <x:v>API</x:v>
      </x:c>
      <x:c r="H103" s="15" t="str">
        <x:v>Restrito/credencial</x:v>
      </x:c>
      <x:c r="I103" s="15" t="str">
        <x:v>Baixa</x:v>
      </x:c>
      <x:c r="J103" s="15" t="str">
        <x:v>https://www.gov.br/conecta/catalogo/apis/consulta-ao-tribunal</x:v>
      </x:c>
      <x:c r="K103" s="15" t="str"/>
      <x:c r="L103" s="15" t="str"/>
      <x:c r="M103" s="15" t="str">
        <x:v>Backlog</x:v>
      </x:c>
    </x:row>
    <x:row r="104">
      <x:c r="A104" s="15" t="n">
        <x:v>103</x:v>
      </x:c>
      <x:c r="B104" s="15" t="str">
        <x:v>Federal</x:v>
      </x:c>
      <x:c r="C104" s="15" t="str">
        <x:v>Referência</x:v>
      </x:c>
      <x:c r="D104" s="15" t="str">
        <x:v>Registro de Referência de Países</x:v>
      </x:c>
      <x:c r="E104" s="15" t="str">
        <x:v>Governo Federal</x:v>
      </x:c>
      <x:c r="F104" s="15" t="str">
        <x:v>Cadastro de países</x:v>
      </x:c>
      <x:c r="G104" s="15" t="str">
        <x:v>API</x:v>
      </x:c>
      <x:c r="H104" s="15" t="str">
        <x:v>Aberto/restrito parcial</x:v>
      </x:c>
      <x:c r="I104" s="15" t="str">
        <x:v>Média</x:v>
      </x:c>
      <x:c r="J104" s="15" t="str">
        <x:v>https://www.gov.br/conecta/catalogo/apis/registro-de-referencia-de-paises</x:v>
      </x:c>
      <x:c r="K104" s="15" t="str"/>
      <x:c r="L104" s="15" t="str"/>
      <x:c r="M104" s="15" t="str">
        <x:v>Backlog</x:v>
      </x:c>
    </x:row>
    <x:row r="105">
      <x:c r="A105" s="15" t="n">
        <x:v>104</x:v>
      </x:c>
      <x:c r="B105" s="15" t="str">
        <x:v>Federal</x:v>
      </x:c>
      <x:c r="C105" s="15" t="str">
        <x:v>Referência</x:v>
      </x:c>
      <x:c r="D105" s="15" t="str">
        <x:v>Registro de Referência de Unidades Federativas</x:v>
      </x:c>
      <x:c r="E105" s="15" t="str">
        <x:v>Governo Federal</x:v>
      </x:c>
      <x:c r="F105" s="15" t="str">
        <x:v>UFs e regiões</x:v>
      </x:c>
      <x:c r="G105" s="15" t="str">
        <x:v>API</x:v>
      </x:c>
      <x:c r="H105" s="15" t="str">
        <x:v>Aberto/restrito parcial</x:v>
      </x:c>
      <x:c r="I105" s="15" t="str">
        <x:v>Alta</x:v>
      </x:c>
      <x:c r="J105" s="15" t="str">
        <x:v>https://www.gov.br/conecta/catalogo/apis/registro-de-referencia-de-unidades-federativas</x:v>
      </x:c>
      <x:c r="K105" s="15" t="str"/>
      <x:c r="L105" s="15" t="str"/>
      <x:c r="M105" s="15" t="str">
        <x:v>Backlog</x:v>
      </x:c>
    </x:row>
    <x:row r="106">
      <x:c r="A106" s="15" t="n">
        <x:v>105</x:v>
      </x:c>
      <x:c r="B106" s="15" t="str">
        <x:v>Federal</x:v>
      </x:c>
      <x:c r="C106" s="15" t="str">
        <x:v>Referência</x:v>
      </x:c>
      <x:c r="D106" s="15" t="str">
        <x:v>Registro de Referência de Municípios</x:v>
      </x:c>
      <x:c r="E106" s="15" t="str">
        <x:v>Governo Federal</x:v>
      </x:c>
      <x:c r="F106" s="15" t="str">
        <x:v>Municípios</x:v>
      </x:c>
      <x:c r="G106" s="15" t="str">
        <x:v>API</x:v>
      </x:c>
      <x:c r="H106" s="15" t="str">
        <x:v>Aberto/restrito parcial</x:v>
      </x:c>
      <x:c r="I106" s="15" t="str">
        <x:v>Alta</x:v>
      </x:c>
      <x:c r="J106" s="15" t="str">
        <x:v>https://www.gov.br/conecta/catalogo/apis/registro-de-referencia-de-municipios</x:v>
      </x:c>
      <x:c r="K106" s="15" t="str"/>
      <x:c r="L106" s="15" t="str"/>
      <x:c r="M106" s="15" t="str">
        <x:v>Backlog</x:v>
      </x:c>
    </x:row>
    <x:row r="107">
      <x:c r="A107" s="15" t="n">
        <x:v>106</x:v>
      </x:c>
      <x:c r="B107" s="15" t="str">
        <x:v>Federal</x:v>
      </x:c>
      <x:c r="C107" s="15" t="str">
        <x:v>Administração pública</x:v>
      </x:c>
      <x:c r="D107" s="15" t="str">
        <x:v>Registro de Referência / SIORG</x:v>
      </x:c>
      <x:c r="E107" s="15" t="str">
        <x:v>Governo Federal</x:v>
      </x:c>
      <x:c r="F107" s="15" t="str">
        <x:v>Estruturas organizacionais federais</x:v>
      </x:c>
      <x:c r="G107" s="15" t="str">
        <x:v>API</x:v>
      </x:c>
      <x:c r="H107" s="15" t="str">
        <x:v>Aberto/restrito parcial</x:v>
      </x:c>
      <x:c r="I107" s="15" t="str">
        <x:v>Alta</x:v>
      </x:c>
      <x:c r="J107" s="15" t="str">
        <x:v>https://www.gov.br/conecta/catalogo/apis/registro-de-referencia-siorg</x:v>
      </x:c>
      <x:c r="K107" s="15" t="str"/>
      <x:c r="L107" s="15" t="str"/>
      <x:c r="M107" s="15" t="str">
        <x:v>Backlog</x:v>
      </x:c>
    </x:row>
    <x:row r="108">
      <x:c r="A108" s="15" t="n">
        <x:v>107</x:v>
      </x:c>
      <x:c r="B108" s="15" t="str">
        <x:v>Federal</x:v>
      </x:c>
      <x:c r="C108" s="15" t="str">
        <x:v>Servidores</x:v>
      </x:c>
      <x:c r="D108" s="15" t="str">
        <x:v>Registro de Referência / SIAPE Consultas</x:v>
      </x:c>
      <x:c r="E108" s="15" t="str">
        <x:v>Governo Federal</x:v>
      </x:c>
      <x:c r="F108" s="15" t="str">
        <x:v>Servidores públicos federais</x:v>
      </x:c>
      <x:c r="G108" s="15" t="str">
        <x:v>API</x:v>
      </x:c>
      <x:c r="H108" s="15" t="str">
        <x:v>Restrito/credencial</x:v>
      </x:c>
      <x:c r="I108" s="15" t="str">
        <x:v>Média</x:v>
      </x:c>
      <x:c r="J108" s="15" t="str">
        <x:v>https://www.gov.br/conecta/catalogo/apis/registro-de-referencia-siape-consultas</x:v>
      </x:c>
      <x:c r="K108" s="15" t="str"/>
      <x:c r="L108" s="15" t="str"/>
      <x:c r="M108" s="15" t="str">
        <x:v>Backlog</x:v>
      </x:c>
    </x:row>
    <x:row r="109">
      <x:c r="A109" s="15" t="n">
        <x:v>108</x:v>
      </x:c>
      <x:c r="B109" s="15" t="str">
        <x:v>Federal</x:v>
      </x:c>
      <x:c r="C109" s="15" t="str">
        <x:v>Servidores</x:v>
      </x:c>
      <x:c r="D109" s="15" t="str">
        <x:v>SIAPE Ocorrências</x:v>
      </x:c>
      <x:c r="E109" s="15" t="str">
        <x:v>Governo Federal</x:v>
      </x:c>
      <x:c r="F109" s="15" t="str">
        <x:v>Ocorrências funcionais</x:v>
      </x:c>
      <x:c r="G109" s="15" t="str">
        <x:v>API</x:v>
      </x:c>
      <x:c r="H109" s="15" t="str">
        <x:v>Restrito/credencial</x:v>
      </x:c>
      <x:c r="I109" s="15" t="str">
        <x:v>Baixa</x:v>
      </x:c>
      <x:c r="J109" s="15" t="str">
        <x:v>https://www.gov.br/conecta/catalogo/apis/siape-ocorrencias</x:v>
      </x:c>
      <x:c r="K109" s="15" t="str"/>
      <x:c r="L109" s="15" t="str"/>
      <x:c r="M109" s="15" t="str">
        <x:v>Backlog</x:v>
      </x:c>
    </x:row>
    <x:row r="110">
      <x:c r="A110" s="15" t="n">
        <x:v>109</x:v>
      </x:c>
      <x:c r="B110" s="15" t="str">
        <x:v>Federal</x:v>
      </x:c>
      <x:c r="C110" s="15" t="str">
        <x:v>Turismo</x:v>
      </x:c>
      <x:c r="D110" s="15" t="str">
        <x:v>CADASTUR</x:v>
      </x:c>
      <x:c r="E110" s="15" t="str">
        <x:v>Ministério do Turismo</x:v>
      </x:c>
      <x:c r="F110" s="15" t="str">
        <x:v>Prestadores turísticos</x:v>
      </x:c>
      <x:c r="G110" s="15" t="str">
        <x:v>API</x:v>
      </x:c>
      <x:c r="H110" s="15" t="str">
        <x:v>Aberto/restrito parcial</x:v>
      </x:c>
      <x:c r="I110" s="15" t="str">
        <x:v>Média</x:v>
      </x:c>
      <x:c r="J110" s="15" t="str">
        <x:v>https://www.gov.br/conecta/catalogo/apis/cadastur</x:v>
      </x:c>
      <x:c r="K110" s="15" t="str"/>
      <x:c r="L110" s="15" t="str"/>
      <x:c r="M110" s="15" t="str">
        <x:v>Backlog</x:v>
      </x:c>
    </x:row>
    <x:row r="111">
      <x:c r="A111" s="15" t="n">
        <x:v>110</x:v>
      </x:c>
      <x:c r="B111" s="15" t="str">
        <x:v>Federal</x:v>
      </x:c>
      <x:c r="C111" s="15" t="str">
        <x:v>Previdência pública</x:v>
      </x:c>
      <x:c r="D111" s="15" t="str">
        <x:v>CADPREV / Regimes Públicos de Previdência Social</x:v>
      </x:c>
      <x:c r="E111" s="15" t="str">
        <x:v>Ministério da Previdência</x:v>
      </x:c>
      <x:c r="F111" s="15" t="str">
        <x:v>Regimes próprios de previdência</x:v>
      </x:c>
      <x:c r="G111" s="15" t="str">
        <x:v>API</x:v>
      </x:c>
      <x:c r="H111" s="15" t="str">
        <x:v>Aberto/restrito parcial</x:v>
      </x:c>
      <x:c r="I111" s="15" t="str">
        <x:v>Média</x:v>
      </x:c>
      <x:c r="J111" s="15" t="str">
        <x:v>https://www.gov.br/conecta/catalogo/apis/informacoes-dos-regimes-publicos-de-previdencia-social-cadprev</x:v>
      </x:c>
      <x:c r="K111" s="15" t="str"/>
      <x:c r="L111" s="15" t="str"/>
      <x:c r="M111" s="15" t="str">
        <x:v>Backlog</x:v>
      </x:c>
    </x:row>
    <x:row r="112">
      <x:c r="A112" s="15" t="n">
        <x:v>111</x:v>
      </x:c>
      <x:c r="B112" s="15" t="str">
        <x:v>Federal</x:v>
      </x:c>
      <x:c r="C112" s="15" t="str">
        <x:v>Energia</x:v>
      </x:c>
      <x:c r="D112" s="15" t="str">
        <x:v>Outorgas de Geração</x:v>
      </x:c>
      <x:c r="E112" s="15" t="str">
        <x:v>ANEEL</x:v>
      </x:c>
      <x:c r="F112" s="15" t="str">
        <x:v>Outorgas de geração de energia</x:v>
      </x:c>
      <x:c r="G112" s="15" t="str">
        <x:v>API/dados</x:v>
      </x:c>
      <x:c r="H112" s="15" t="str">
        <x:v>Aberto</x:v>
      </x:c>
      <x:c r="I112" s="15" t="str">
        <x:v>Média</x:v>
      </x:c>
      <x:c r="J112" s="15" t="str">
        <x:v>https://www.gov.br/conecta/catalogo/apis/outorgas-de-geracao</x:v>
      </x:c>
      <x:c r="K112" s="15" t="str"/>
      <x:c r="L112" s="15" t="str"/>
      <x:c r="M112" s="15" t="str">
        <x:v>Backlog</x:v>
      </x:c>
    </x:row>
    <x:row r="113">
      <x:c r="A113" s="15" t="n">
        <x:v>112</x:v>
      </x:c>
      <x:c r="B113" s="15" t="str">
        <x:v>Federal</x:v>
      </x:c>
      <x:c r="C113" s="15" t="str">
        <x:v>Energia</x:v>
      </x:c>
      <x:c r="D113" s="15" t="str">
        <x:v>Polímero / Composição Societária dos Agentes do Setor Elétrico</x:v>
      </x:c>
      <x:c r="E113" s="15" t="str">
        <x:v>ANEEL</x:v>
      </x:c>
      <x:c r="F113" s="15" t="str">
        <x:v>Societário dos agentes de energia</x:v>
      </x:c>
      <x:c r="G113" s="15" t="str">
        <x:v>API/dados</x:v>
      </x:c>
      <x:c r="H113" s="15" t="str">
        <x:v>Aberto/restrito parcial</x:v>
      </x:c>
      <x:c r="I113" s="15" t="str">
        <x:v>Baixa</x:v>
      </x:c>
      <x:c r="J113" s="15" t="str">
        <x:v>https://www.gov.br/conecta/catalogo/apis/polimero-composicao-societaria-dos-agentes-do-setor-eletrico</x:v>
      </x:c>
      <x:c r="K113" s="15" t="str"/>
      <x:c r="L113" s="15" t="str"/>
      <x:c r="M113" s="15" t="str">
        <x:v>Backlog</x:v>
      </x:c>
    </x:row>
    <x:row r="114">
      <x:c r="A114" s="15" t="n">
        <x:v>113</x:v>
      </x:c>
      <x:c r="B114" s="15" t="str">
        <x:v>Federal</x:v>
      </x:c>
      <x:c r="C114" s="15" t="str">
        <x:v>Acessibilidade</x:v>
      </x:c>
      <x:c r="D114" s="15" t="str">
        <x:v>vLibras</x:v>
      </x:c>
      <x:c r="E114" s="15" t="str">
        <x:v>Governo Federal</x:v>
      </x:c>
      <x:c r="F114" s="15" t="str">
        <x:v>Tradução/recursos de Libras</x:v>
      </x:c>
      <x:c r="G114" s="15" t="str">
        <x:v>API/serviço</x:v>
      </x:c>
      <x:c r="H114" s="15" t="str">
        <x:v>Aberto</x:v>
      </x:c>
      <x:c r="I114" s="15" t="str">
        <x:v>Baixa</x:v>
      </x:c>
      <x:c r="J114" s="15" t="str">
        <x:v>https://www.gov.br/conecta/catalogo/apis/vlibras</x:v>
      </x:c>
      <x:c r="K114" s="15" t="str"/>
      <x:c r="L114" s="15" t="str"/>
      <x:c r="M114" s="15" t="str">
        <x:v>Backlog</x:v>
      </x:c>
    </x:row>
    <x:row r="115">
      <x:c r="A115" s="15" t="n">
        <x:v>114</x:v>
      </x:c>
      <x:c r="B115" s="15" t="str">
        <x:v>Não oficial</x:v>
      </x:c>
      <x:c r="C115" s="15" t="str">
        <x:v>Agregador</x:v>
      </x:c>
      <x:c r="D115" s="15" t="str">
        <x:v>BrasilAPI</x:v>
      </x:c>
      <x:c r="E115" s="15" t="str">
        <x:v>Comunidade/terceiros</x:v>
      </x:c>
      <x:c r="F115" s="15" t="str">
        <x:v>CEP, CNPJ, bancos, feriados, FIPE, PIX e outros endpoints</x:v>
      </x:c>
      <x:c r="G115" s="15" t="str">
        <x:v>REST</x:v>
      </x:c>
      <x:c r="H115" s="15" t="str">
        <x:v>Aberto</x:v>
      </x:c>
      <x:c r="I115" s="15" t="str">
        <x:v>Alta</x:v>
      </x:c>
      <x:c r="J115" s="15" t="str">
        <x:v>https://brasilapi.com.br/docs</x:v>
      </x:c>
      <x:c r="K115" s="15" t="str">
        <x:v>https://brasilapi.com.br/api/</x:v>
      </x:c>
      <x:c r="L115" s="15" t="str">
        <x:v>Bom para MVP, mas não substitui fonte oficial.</x:v>
      </x:c>
      <x:c r="M115" s="15" t="str">
        <x:v>Backlog</x:v>
      </x:c>
    </x:row>
    <x:row r="116">
      <x:c r="A116" s="15" t="n">
        <x:v>115</x:v>
      </x:c>
      <x:c r="B116" s="15" t="str">
        <x:v>Não oficial</x:v>
      </x:c>
      <x:c r="C116" s="15" t="str">
        <x:v>Agregador</x:v>
      </x:c>
      <x:c r="D116" s="15" t="str">
        <x:v>ViaCEP</x:v>
      </x:c>
      <x:c r="E116" s="15" t="str">
        <x:v>Terceiros</x:v>
      </x:c>
      <x:c r="F116" s="15" t="str">
        <x:v>CEP e endereço</x:v>
      </x:c>
      <x:c r="G116" s="15" t="str">
        <x:v>REST</x:v>
      </x:c>
      <x:c r="H116" s="15" t="str">
        <x:v>Aberto</x:v>
      </x:c>
      <x:c r="I116" s="15" t="str">
        <x:v>Média</x:v>
      </x:c>
      <x:c r="J116" s="15" t="str">
        <x:v>https://viacep.com.br/</x:v>
      </x:c>
      <x:c r="K116" s="15" t="str">
        <x:v>https://viacep.com.br/ws/{cep}/json/</x:v>
      </x:c>
      <x:c r="L116" s="15" t="str">
        <x:v>Simples e popular.</x:v>
      </x:c>
      <x:c r="M116" s="15" t="str">
        <x:v>Backlog</x:v>
      </x:c>
    </x:row>
    <x:row r="117">
      <x:c r="A117" s="15" t="n">
        <x:v>116</x:v>
      </x:c>
      <x:c r="B117" s="15" t="str">
        <x:v>Não oficial</x:v>
      </x:c>
      <x:c r="C117" s="15" t="str">
        <x:v>Agregador</x:v>
      </x:c>
      <x:c r="D117" s="15" t="str">
        <x:v>CNPJá</x:v>
      </x:c>
      <x:c r="E117" s="15" t="str">
        <x:v>Terceiros</x:v>
      </x:c>
      <x:c r="F117" s="15" t="str">
        <x:v>Consulta CNPJ enriquecida</x:v>
      </x:c>
      <x:c r="G117" s="15" t="str">
        <x:v>REST</x:v>
      </x:c>
      <x:c r="H117" s="15" t="str">
        <x:v>Freemium/pago</x:v>
      </x:c>
      <x:c r="I117" s="15" t="str">
        <x:v>Alta</x:v>
      </x:c>
      <x:c r="J117" s="15" t="str">
        <x:v>https://www.cnpja.com/</x:v>
      </x:c>
      <x:c r="K117" s="15" t="str">
        <x:v>https://api.cnpja.com/</x:v>
      </x:c>
      <x:c r="L117" s="15" t="str">
        <x:v>Útil se aceitar custo/limites.</x:v>
      </x:c>
      <x:c r="M117" s="15" t="str">
        <x:v>Backlog</x:v>
      </x:c>
    </x:row>
    <x:row r="118">
      <x:c r="A118" s="15" t="n">
        <x:v>117</x:v>
      </x:c>
      <x:c r="B118" s="15" t="str">
        <x:v>Não oficial</x:v>
      </x:c>
      <x:c r="C118" s="15" t="str">
        <x:v>Dados tratados</x:v>
      </x:c>
      <x:c r="D118" s="15" t="str">
        <x:v>Base dos Dados</x:v>
      </x:c>
      <x:c r="E118" s="15" t="str">
        <x:v>Instituto Base dos Dados</x:v>
      </x:c>
      <x:c r="F118" s="15" t="str">
        <x:v>Dados públicos tratados em BigQuery</x:v>
      </x:c>
      <x:c r="G118" s="15" t="str">
        <x:v>BigQuery/API</x:v>
      </x:c>
      <x:c r="H118" s="15" t="str">
        <x:v>Aberto/freemium</x:v>
      </x:c>
      <x:c r="I118" s="15" t="str">
        <x:v>Alta</x:v>
      </x:c>
      <x:c r="J118" s="15" t="str">
        <x:v>https://basedosdados.org/</x:v>
      </x:c>
      <x:c r="K118" s="15" t="str"/>
      <x:c r="L118" s="15" t="str">
        <x:v>Excelente para cruzamentos e BI.</x:v>
      </x:c>
      <x:c r="M118" s="15" t="str">
        <x:v>Backlog</x:v>
      </x:c>
    </x:row>
    <x:row r="119">
      <x:c r="A119" s="15" t="n">
        <x:v>118</x:v>
      </x:c>
      <x:c r="B119" s="15" t="str">
        <x:v>Não oficial</x:v>
      </x:c>
      <x:c r="C119" s="15" t="str">
        <x:v>Wrapper</x:v>
      </x:c>
      <x:c r="D119" s="15" t="str">
        <x:v>Dados Abertos Brasil Python</x:v>
      </x:c>
      <x:c r="E119" s="15" t="str">
        <x:v>Comunidade</x:v>
      </x:c>
      <x:c r="F119" s="15" t="str">
        <x:v>Biblioteca para consumir APIs públicas brasileiras</x:v>
      </x:c>
      <x:c r="G119" s="15" t="str">
        <x:v>Python package</x:v>
      </x:c>
      <x:c r="H119" s="15" t="str">
        <x:v>Aberto</x:v>
      </x:c>
      <x:c r="I119" s="15" t="str">
        <x:v>Baixa</x:v>
      </x:c>
      <x:c r="J119" s="15" t="str">
        <x:v>https://dados-abertos-brasil.readthedocs.io/</x:v>
      </x:c>
      <x:c r="K119" s="15" t="str"/>
      <x:c r="L119" s="15" t="str">
        <x:v>Útil para prototipagem.</x:v>
      </x:c>
      <x:c r="M119" s="15" t="str">
        <x:v>Backlog</x:v>
      </x:c>
    </x:row>
    <x:row r="120">
      <x:c r="A120" s="15" t="n">
        <x:v>119</x:v>
      </x:c>
      <x:c r="B120" s="15" t="str">
        <x:v>Estadual</x:v>
      </x:c>
      <x:c r="C120" s="15" t="str">
        <x:v>Portal CKAN</x:v>
      </x:c>
      <x:c r="D120" s="15" t="str">
        <x:v>Dados Abertos SP</x:v>
      </x:c>
      <x:c r="E120" s="15" t="str">
        <x:v>Governo do Estado de São Paulo</x:v>
      </x:c>
      <x:c r="F120" s="15" t="str">
        <x:v>Datasets estaduais de SP</x:v>
      </x:c>
      <x:c r="G120" s="15" t="str">
        <x:v>CKAN/API</x:v>
      </x:c>
      <x:c r="H120" s="15" t="str">
        <x:v>Aberto</x:v>
      </x:c>
      <x:c r="I120" s="15" t="str">
        <x:v>Média</x:v>
      </x:c>
      <x:c r="J120" s="15" t="str">
        <x:v>https://dadosabertos.sp.gov.br/</x:v>
      </x:c>
      <x:c r="K120" s="15" t="str">
        <x:v>https://dadosabertos.sp.gov.br/api/3/action/package_search</x:v>
      </x:c>
      <x:c r="L120" s="15" t="str">
        <x:v>Prioridade por você estar em SP.</x:v>
      </x:c>
      <x:c r="M120" s="15" t="str">
        <x:v>Backlog</x:v>
      </x:c>
    </x:row>
    <x:row r="121">
      <x:c r="A121" s="15" t="n">
        <x:v>120</x:v>
      </x:c>
      <x:c r="B121" s="15" t="str">
        <x:v>Municipal</x:v>
      </x:c>
      <x:c r="C121" s="15" t="str">
        <x:v>Portal CKAN</x:v>
      </x:c>
      <x:c r="D121" s="15" t="str">
        <x:v>Dados Abertos Prefeitura de São Paulo</x:v>
      </x:c>
      <x:c r="E121" s="15" t="str">
        <x:v>Prefeitura de São Paulo</x:v>
      </x:c>
      <x:c r="F121" s="15" t="str">
        <x:v>Dados municipais de SP</x:v>
      </x:c>
      <x:c r="G121" s="15" t="str">
        <x:v>CKAN/API</x:v>
      </x:c>
      <x:c r="H121" s="15" t="str">
        <x:v>Aberto</x:v>
      </x:c>
      <x:c r="I121" s="15" t="str">
        <x:v>Alta</x:v>
      </x:c>
      <x:c r="J121" s="15" t="str">
        <x:v>https://dados.prefeitura.sp.gov.br/</x:v>
      </x:c>
      <x:c r="K121" s="15" t="str">
        <x:v>https://dados.prefeitura.sp.gov.br/api/3/action/package_search</x:v>
      </x:c>
      <x:c r="L121" s="15" t="str">
        <x:v>Muito útil para negócios locais.</x:v>
      </x:c>
      <x:c r="M121" s="15" t="str">
        <x:v>Backlog</x:v>
      </x:c>
    </x:row>
    <x:row r="122">
      <x:c r="A122" s="15" t="n">
        <x:v>121</x:v>
      </x:c>
      <x:c r="B122" s="15" t="str">
        <x:v>Municipal</x:v>
      </x:c>
      <x:c r="C122" s="15" t="str">
        <x:v>Portal CKAN</x:v>
      </x:c>
      <x:c r="D122" s="15" t="str">
        <x:v>Dados Abertos Recife</x:v>
      </x:c>
      <x:c r="E122" s="15" t="str">
        <x:v>Prefeitura do Recife</x:v>
      </x:c>
      <x:c r="F122" s="15" t="str">
        <x:v>Dados municipais Recife</x:v>
      </x:c>
      <x:c r="G122" s="15" t="str">
        <x:v>CKAN/API</x:v>
      </x:c>
      <x:c r="H122" s="15" t="str">
        <x:v>Aberto</x:v>
      </x:c>
      <x:c r="I122" s="15" t="str">
        <x:v>Baixa</x:v>
      </x:c>
      <x:c r="J122" s="15" t="str">
        <x:v>https://dados.recife.pe.gov.br/</x:v>
      </x:c>
      <x:c r="K122" s="15" t="str">
        <x:v>https://dados.recife.pe.gov.br/api/3/action/package_search</x:v>
      </x:c>
      <x:c r="L122" s="15" t="str"/>
      <x:c r="M122" s="15" t="str">
        <x:v>Backlog</x:v>
      </x:c>
    </x:row>
    <x:row r="123">
      <x:c r="A123" s="15" t="n">
        <x:v>122</x:v>
      </x:c>
      <x:c r="B123" s="15" t="str">
        <x:v>Estadual</x:v>
      </x:c>
      <x:c r="C123" s="15" t="str">
        <x:v>Portal CKAN</x:v>
      </x:c>
      <x:c r="D123" s="15" t="str">
        <x:v>Dados Abertos RJ</x:v>
      </x:c>
      <x:c r="E123" s="15" t="str">
        <x:v>Governo do Estado do Rio de Janeiro</x:v>
      </x:c>
      <x:c r="F123" s="15" t="str">
        <x:v>Datasets estaduais do RJ</x:v>
      </x:c>
      <x:c r="G123" s="15" t="str">
        <x:v>CKAN/API</x:v>
      </x:c>
      <x:c r="H123" s="15" t="str">
        <x:v>Aberto</x:v>
      </x:c>
      <x:c r="I123" s="15" t="str">
        <x:v>Baixa</x:v>
      </x:c>
      <x:c r="J123" s="15" t="str">
        <x:v>https://dadosabertos.rj.gov.br/</x:v>
      </x:c>
      <x:c r="K123" s="15" t="str">
        <x:v>https://dadosabertos.rj.gov.br/api/3/action/package_search</x:v>
      </x:c>
      <x:c r="L123" s="15" t="str"/>
      <x:c r="M123" s="15" t="str">
        <x:v>Backlog</x:v>
      </x:c>
    </x:row>
    <x:row r="124">
      <x:c r="A124" s="15" t="n">
        <x:v>123</x:v>
      </x:c>
      <x:c r="B124" s="15" t="str">
        <x:v>Estadual</x:v>
      </x:c>
      <x:c r="C124" s="15" t="str">
        <x:v>Portal de dados</x:v>
      </x:c>
      <x:c r="D124" s="15" t="str">
        <x:v>Dados Abertos MG</x:v>
      </x:c>
      <x:c r="E124" s="15" t="str">
        <x:v>Governo de Minas Gerais</x:v>
      </x:c>
      <x:c r="F124" s="15" t="str">
        <x:v>Datasets estaduais de MG</x:v>
      </x:c>
      <x:c r="G124" s="15" t="str">
        <x:v>Dados abertos/API parcial</x:v>
      </x:c>
      <x:c r="H124" s="15" t="str">
        <x:v>Aberto</x:v>
      </x:c>
      <x:c r="I124" s="15" t="str">
        <x:v>Baixa</x:v>
      </x:c>
      <x:c r="J124" s="15" t="str">
        <x:v>https://www.dados.mg.gov.br/</x:v>
      </x:c>
      <x:c r="K124" s="15" t="str"/>
      <x:c r="L124" s="15" t="str">
        <x:v>Verificar formato/CKAN.</x:v>
      </x:c>
      <x:c r="M124" s="15" t="str">
        <x:v>Backlog</x:v>
      </x:c>
    </x:row>
    <x:row r="125">
      <x:c r="A125" s="15" t="n">
        <x:v>124</x:v>
      </x:c>
      <x:c r="B125" s="15" t="str">
        <x:v>Estadual</x:v>
      </x:c>
      <x:c r="C125" s="15" t="str">
        <x:v>Portal de dados</x:v>
      </x:c>
      <x:c r="D125" s="15" t="str">
        <x:v>Dados Abertos RS</x:v>
      </x:c>
      <x:c r="E125" s="15" t="str">
        <x:v>Governo do Rio Grande do Sul</x:v>
      </x:c>
      <x:c r="F125" s="15" t="str">
        <x:v>Datasets estaduais do RS</x:v>
      </x:c>
      <x:c r="G125" s="15" t="str">
        <x:v>Dados abertos/API parcial</x:v>
      </x:c>
      <x:c r="H125" s="15" t="str">
        <x:v>Aberto</x:v>
      </x:c>
      <x:c r="I125" s="15" t="str">
        <x:v>Baixa</x:v>
      </x:c>
      <x:c r="J125" s="15" t="str">
        <x:v>https://dados.rs.gov.br/</x:v>
      </x:c>
      <x:c r="K125" s="15" t="str"/>
      <x:c r="L125" s="15" t="str">
        <x:v>Verificar formato/CKAN.</x:v>
      </x:c>
      <x:c r="M125" s="15" t="str">
        <x:v>Backlog</x:v>
      </x:c>
    </x:row>
    <x:row r="126">
      <x:c r="A126" s="15" t="n">
        <x:v>125</x:v>
      </x:c>
      <x:c r="B126" s="15" t="str">
        <x:v>Estadual</x:v>
      </x:c>
      <x:c r="C126" s="15" t="str">
        <x:v>Portal de dados</x:v>
      </x:c>
      <x:c r="D126" s="15" t="str">
        <x:v>Dados Abertos BA</x:v>
      </x:c>
      <x:c r="E126" s="15" t="str">
        <x:v>Governo da Bahia</x:v>
      </x:c>
      <x:c r="F126" s="15" t="str">
        <x:v>Datasets estaduais da Bahia</x:v>
      </x:c>
      <x:c r="G126" s="15" t="str">
        <x:v>Dados abertos/API parcial</x:v>
      </x:c>
      <x:c r="H126" s="15" t="str">
        <x:v>Aberto</x:v>
      </x:c>
      <x:c r="I126" s="15" t="str">
        <x:v>Baixa</x:v>
      </x:c>
      <x:c r="J126" s="15" t="str">
        <x:v>https://dadosabertos.ba.gov.br/</x:v>
      </x:c>
      <x:c r="K126" s="15" t="str"/>
      <x:c r="L126" s="15" t="str">
        <x:v>Verificar formato/CKAN.</x:v>
      </x:c>
      <x:c r="M126" s="15" t="str">
        <x:v>Backlog</x:v>
      </x:c>
    </x:row>
    <x:row r="127">
      <x:c r="A127" s="15" t="n">
        <x:v>126</x:v>
      </x:c>
      <x:c r="B127" s="15" t="str">
        <x:v>Municipal</x:v>
      </x:c>
      <x:c r="C127" s="15" t="str">
        <x:v>Portal de dados</x:v>
      </x:c>
      <x:c r="D127" s="15" t="str">
        <x:v>Dados Abertos Rio de Janeiro</x:v>
      </x:c>
      <x:c r="E127" s="15" t="str">
        <x:v>Prefeitura do Rio de Janeiro</x:v>
      </x:c>
      <x:c r="F127" s="15" t="str">
        <x:v>Dados municipais Rio</x:v>
      </x:c>
      <x:c r="G127" s="15" t="str">
        <x:v>Dados abertos/API parcial</x:v>
      </x:c>
      <x:c r="H127" s="15" t="str">
        <x:v>Aberto</x:v>
      </x:c>
      <x:c r="I127" s="15" t="str">
        <x:v>Baixa</x:v>
      </x:c>
      <x:c r="J127" s="15" t="str">
        <x:v>https://www.data.rio/</x:v>
      </x:c>
      <x:c r="K127" s="15" t="str"/>
      <x:c r="L127" s="15" t="str">
        <x:v>Possui datasets e APIs próprias.</x:v>
      </x:c>
      <x:c r="M127" s="15" t="str">
        <x:v>Backlog</x:v>
      </x:c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</x:row>
    <x:row r="20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</x:row>
    <x:row r="202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</x:row>
    <x:row r="203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</x:row>
    <x:row r="204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</x:row>
    <x:row r="205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</x:row>
    <x:row r="206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</x:row>
    <x:row r="207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</x:row>
    <x:row r="208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</x:row>
    <x:row r="209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</x:row>
    <x:row r="210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</x:row>
    <x:row r="21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</x:row>
    <x:row r="212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</x:row>
    <x:row r="213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</x:row>
    <x:row r="214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</x:row>
    <x:row r="215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</x:row>
    <x:row r="216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</x:row>
    <x:row r="217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</x:row>
    <x:row r="218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</x:row>
    <x:row r="219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</x:row>
    <x:row r="220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</x:row>
    <x:row r="22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</x:row>
    <x:row r="222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</x:row>
    <x:row r="223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</x:row>
    <x:row r="224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</x:row>
    <x:row r="225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</x:row>
    <x:row r="226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</x:row>
    <x:row r="227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</x:row>
    <x:row r="228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</x:row>
    <x:row r="229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</x:row>
    <x:row r="230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</x:row>
    <x:row r="23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</x:row>
    <x:row r="232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</x:row>
    <x:row r="233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</x:row>
    <x:row r="234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</x:row>
    <x:row r="235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</x:row>
    <x:row r="236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</x:row>
    <x:row r="237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</x:row>
    <x:row r="238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</x:row>
    <x:row r="239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</x:row>
    <x:row r="240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</x:row>
    <x:row r="24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</x:row>
    <x:row r="242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</x:row>
    <x:row r="243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</x:row>
    <x:row r="244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</x:row>
    <x:row r="245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</x:row>
    <x:row r="246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</x:row>
    <x:row r="247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</x:row>
    <x:row r="248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</x:row>
    <x:row r="249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</x:row>
    <x:row r="250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</x:row>
    <x:row r="25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</x:row>
    <x:row r="252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</x:row>
    <x:row r="253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</x:row>
    <x:row r="254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</x:row>
    <x:row r="255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</x:row>
    <x:row r="256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</x:row>
    <x:row r="257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</x:row>
    <x:row r="258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</x:row>
    <x:row r="259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</x:row>
    <x:row r="260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</x:row>
    <x:row r="26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</x:row>
    <x:row r="262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</x:row>
    <x:row r="263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</x:row>
    <x:row r="264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</x:row>
    <x:row r="265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</x:row>
    <x:row r="266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</x:row>
    <x:row r="267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</x:row>
    <x:row r="268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</x:row>
    <x:row r="269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</x:row>
    <x:row r="270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</x:row>
    <x:row r="27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</x:row>
    <x:row r="272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</x:row>
    <x:row r="273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</x:row>
    <x:row r="274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</x:row>
    <x:row r="275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</x:row>
    <x:row r="276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</x:row>
    <x:row r="277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</x:row>
    <x:row r="278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</x:row>
    <x:row r="279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</x:row>
    <x:row r="280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</x:row>
    <x:row r="28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</x:row>
    <x:row r="282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</x:row>
    <x:row r="283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</x:row>
    <x:row r="284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</x:row>
    <x:row r="285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</x:row>
    <x:row r="286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</x:row>
    <x:row r="287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</x:row>
    <x:row r="288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</x:row>
    <x:row r="289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</x:row>
    <x:row r="290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</x:row>
    <x:row r="29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</x:row>
    <x:row r="292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</x:row>
    <x:row r="293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</x:row>
    <x:row r="294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</x:row>
    <x:row r="295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</x:row>
    <x:row r="296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</x:row>
    <x:row r="297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</x:row>
    <x:row r="298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</x:row>
    <x:row r="299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</x:row>
    <x:row r="300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</x:row>
  </x:sheetData>
  <x:conditionalFormatting sqref="I2:I127">
    <x:cfRule type="expression" dxfId="0" priority="1">
      <x:formula>I2="Crítica"</x:formula>
    </x:cfRule>
    <x:cfRule type="expression" dxfId="1" priority="2">
      <x:formula>I2="Alta"</x:formula>
    </x:cfRule>
  </x:conditionalFormatting>
  <x:conditionalFormatting sqref="H2:H127">
    <x:cfRule type="expression" dxfId="2" priority="3">
      <x:formula>ISNUMBER(SEARCH("Restrito",H2))</x:formula>
    </x:cfRule>
    <x:cfRule type="expression" dxfId="3" priority="4">
      <x:formula>ISNUMBER(SEARCH("Aberto",H2))</x:formula>
    </x:cfRule>
  </x:conditionalFormatting>
  <x:dataValidations count="2">
    <x:dataValidation type="list" sqref="M2:M127">
      <x:formula1>"Backlog,Validar acesso,Pronto para MVP,Em integração,Integrado,Bloqueado"</x:formula1>
    </x:dataValidation>
    <x:dataValidation type="list" sqref="I2:I127">
      <x:formula1>"Crítica,Alta,Média,Baixa"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5e379d9cf245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28" hidden="0" customWidth="1"/>
    <x:col min="5" max="5" width="42" hidden="0" customWidth="1"/>
    <x:col min="6" max="6" width="58" hidden="0" customWidth="1"/>
    <x:col min="7" max="7" width="58" hidden="0" customWidth="1"/>
    <x:col min="8" max="8" width="14" hidden="0" customWidth="1"/>
  </x:cols>
  <x:sheetData>
    <x:row r="1">
      <x:c r="A1" s="14" t="str">
        <x:v>ID</x:v>
      </x:c>
      <x:c r="B1" s="14" t="str">
        <x:v>Tipo</x:v>
      </x:c>
      <x:c r="C1" s="14" t="str">
        <x:v>Nome</x:v>
      </x:c>
      <x:c r="D1" s="14" t="str">
        <x:v>Órgão/Fonte</x:v>
      </x:c>
      <x:c r="E1" s="14" t="str">
        <x:v>URL</x:v>
      </x:c>
      <x:c r="F1" s="14" t="str">
        <x:v>Endpoint de varredura</x:v>
      </x:c>
      <x:c r="G1" s="14" t="str">
        <x:v>Como usar</x:v>
      </x:c>
      <x:c r="H1" s="14" t="str">
        <x:v>Prioridade</x:v>
      </x:c>
      <x:c r="I1" s="43"/>
      <x:c r="J1" s="43"/>
      <x:c r="K1" s="43"/>
      <x:c r="L1" s="43"/>
      <x:c r="M1" s="43"/>
    </x:row>
    <x:row r="2">
      <x:c r="A2" s="15" t="n">
        <x:v>1</x:v>
      </x:c>
      <x:c r="B2" s="15" t="str">
        <x:v>Catálogo federal</x:v>
      </x:c>
      <x:c r="C2" s="15" t="str">
        <x:v>Conecta gov.br</x:v>
      </x:c>
      <x:c r="D2" s="15" t="str">
        <x:v>Governo Federal</x:v>
      </x:c>
      <x:c r="E2" s="15" t="str">
        <x:v>https://www.gov.br/conecta/catalogo/apis</x:v>
      </x:c>
      <x:c r="F2" s="15" t="str">
        <x:v>https://www.gov.br/conecta/catalogo/apis</x:v>
      </x:c>
      <x:c r="G2" s="15" t="str">
        <x:v>Raspar/consultar páginas de APIs, classificar acesso e montar backlog de integrações.</x:v>
      </x:c>
      <x:c r="H2" s="15" t="str">
        <x:v>Crítica</x:v>
      </x:c>
      <x:c r="I2" s="43"/>
      <x:c r="J2" s="43"/>
      <x:c r="K2" s="43"/>
      <x:c r="L2" s="43"/>
      <x:c r="M2" s="43"/>
    </x:row>
    <x:row r="3">
      <x:c r="A3" s="15" t="n">
        <x:v>2</x:v>
      </x:c>
      <x:c r="B3" s="15" t="str">
        <x:v>Catálogo nacional</x:v>
      </x:c>
      <x:c r="C3" s="15" t="str">
        <x:v>dados.gov.br</x:v>
      </x:c>
      <x:c r="D3" s="15" t="str">
        <x:v>CGU</x:v>
      </x:c>
      <x:c r="E3" s="15" t="str">
        <x:v>https://dados.gov.br/</x:v>
      </x:c>
      <x:c r="F3" s="15" t="str">
        <x:v>https://dados.gov.br/swagger-ui/index.html</x:v>
      </x:c>
      <x:c r="G3" s="15" t="str">
        <x:v>Usar API para buscar datasets, organizações, recursos e URLs de download/API.</x:v>
      </x:c>
      <x:c r="H3" s="15" t="str">
        <x:v>Crítica</x:v>
      </x:c>
      <x:c r="I3" s="43"/>
      <x:c r="J3" s="43"/>
      <x:c r="K3" s="43"/>
      <x:c r="L3" s="43"/>
      <x:c r="M3" s="43"/>
    </x:row>
    <x:row r="4">
      <x:c r="A4" s="15" t="n">
        <x:v>3</x:v>
      </x:c>
      <x:c r="B4" s="15" t="str">
        <x:v>CKAN</x:v>
      </x:c>
      <x:c r="C4" s="15" t="str">
        <x:v>Banco Central Dados Abertos</x:v>
      </x:c>
      <x:c r="D4" s="15" t="str">
        <x:v>BCB</x:v>
      </x:c>
      <x:c r="E4" s="15" t="str">
        <x:v>https://dadosabertos.bcb.gov.br/</x:v>
      </x:c>
      <x:c r="F4" s="15" t="str">
        <x:v>https://dadosabertos.bcb.gov.br/api/3/action/package_search</x:v>
      </x:c>
      <x:c r="G4" s="15" t="str">
        <x:v>Crawler CKAN por pacotes e recursos.</x:v>
      </x:c>
      <x:c r="H4" s="15" t="str">
        <x:v>Alta</x:v>
      </x:c>
      <x:c r="I4" s="43"/>
      <x:c r="J4" s="43"/>
      <x:c r="K4" s="43"/>
      <x:c r="L4" s="43"/>
      <x:c r="M4" s="43"/>
    </x:row>
    <x:row r="5">
      <x:c r="A5" s="15" t="n">
        <x:v>4</x:v>
      </x:c>
      <x:c r="B5" s="15" t="str">
        <x:v>CKAN</x:v>
      </x:c>
      <x:c r="C5" s="15" t="str">
        <x:v>TSE Dados Abertos</x:v>
      </x:c>
      <x:c r="D5" s="15" t="str">
        <x:v>TSE</x:v>
      </x:c>
      <x:c r="E5" s="15" t="str">
        <x:v>https://dadosabertos.tse.jus.br/</x:v>
      </x:c>
      <x:c r="F5" s="15" t="str">
        <x:v>https://dadosabertos.tse.jus.br/api/3/action/package_search</x:v>
      </x:c>
      <x:c r="G5" s="15" t="str">
        <x:v>Crawler CKAN eleitoral.</x:v>
      </x:c>
      <x:c r="H5" s="15" t="str">
        <x:v>Alta</x:v>
      </x:c>
      <x:c r="I5" s="43"/>
      <x:c r="J5" s="43"/>
      <x:c r="K5" s="43"/>
      <x:c r="L5" s="43"/>
      <x:c r="M5" s="43"/>
    </x:row>
    <x:row r="6">
      <x:c r="A6" s="15" t="n">
        <x:v>5</x:v>
      </x:c>
      <x:c r="B6" s="15" t="str">
        <x:v>CKAN</x:v>
      </x:c>
      <x:c r="C6" s="15" t="str">
        <x:v>ANEEL Dados Abertos</x:v>
      </x:c>
      <x:c r="D6" s="15" t="str">
        <x:v>ANEEL</x:v>
      </x:c>
      <x:c r="E6" s="15" t="str">
        <x:v>https://dadosabertos.aneel.gov.br/</x:v>
      </x:c>
      <x:c r="F6" s="15" t="str">
        <x:v>https://dadosabertos.aneel.gov.br/api/3/action/package_search</x:v>
      </x:c>
      <x:c r="G6" s="15" t="str">
        <x:v>Crawler CKAN energia.</x:v>
      </x:c>
      <x:c r="H6" s="15" t="str">
        <x:v>Média</x:v>
      </x:c>
      <x:c r="I6" s="43"/>
      <x:c r="J6" s="43"/>
      <x:c r="K6" s="43"/>
      <x:c r="L6" s="43"/>
      <x:c r="M6" s="43"/>
    </x:row>
    <x:row r="7">
      <x:c r="A7" s="15" t="n">
        <x:v>6</x:v>
      </x:c>
      <x:c r="B7" s="15" t="str">
        <x:v>CKAN</x:v>
      </x:c>
      <x:c r="C7" s="15" t="str">
        <x:v>IBAMA Dados Abertos</x:v>
      </x:c>
      <x:c r="D7" s="15" t="str">
        <x:v>IBAMA</x:v>
      </x:c>
      <x:c r="E7" s="15" t="str">
        <x:v>https://dadosabertos.ibama.gov.br/</x:v>
      </x:c>
      <x:c r="F7" s="15" t="str">
        <x:v>https://dadosabertos.ibama.gov.br/api/3/action/package_search</x:v>
      </x:c>
      <x:c r="G7" s="15" t="str">
        <x:v>Crawler CKAN ambiental.</x:v>
      </x:c>
      <x:c r="H7" s="15" t="str">
        <x:v>Média</x:v>
      </x:c>
      <x:c r="I7" s="43"/>
      <x:c r="J7" s="43"/>
      <x:c r="K7" s="43"/>
      <x:c r="L7" s="43"/>
      <x:c r="M7" s="43"/>
    </x:row>
    <x:row r="8">
      <x:c r="A8" s="15" t="n">
        <x:v>7</x:v>
      </x:c>
      <x:c r="B8" s="15" t="str">
        <x:v>CKAN</x:v>
      </x:c>
      <x:c r="C8" s="15" t="str">
        <x:v>ANTT Dados Abertos</x:v>
      </x:c>
      <x:c r="D8" s="15" t="str">
        <x:v>ANTT</x:v>
      </x:c>
      <x:c r="E8" s="15" t="str">
        <x:v>https://dados.antt.gov.br/</x:v>
      </x:c>
      <x:c r="F8" s="15" t="str">
        <x:v>https://dados.antt.gov.br/api/3/action/package_search</x:v>
      </x:c>
      <x:c r="G8" s="15" t="str">
        <x:v>Crawler CKAN transporte.</x:v>
      </x:c>
      <x:c r="H8" s="15" t="str">
        <x:v>Média</x:v>
      </x:c>
      <x:c r="I8" s="43"/>
      <x:c r="J8" s="43"/>
      <x:c r="K8" s="43"/>
      <x:c r="L8" s="43"/>
      <x:c r="M8" s="43"/>
    </x:row>
    <x:row r="9">
      <x:c r="A9" s="15" t="n">
        <x:v>8</x:v>
      </x:c>
      <x:c r="B9" s="15" t="str">
        <x:v>CKAN</x:v>
      </x:c>
      <x:c r="C9" s="15" t="str">
        <x:v>Dados Abertos SP</x:v>
      </x:c>
      <x:c r="D9" s="15" t="str">
        <x:v>Governo SP</x:v>
      </x:c>
      <x:c r="E9" s="15" t="str">
        <x:v>https://dadosabertos.sp.gov.br/</x:v>
      </x:c>
      <x:c r="F9" s="15" t="str">
        <x:v>https://dadosabertos.sp.gov.br/api/3/action/package_search</x:v>
      </x:c>
      <x:c r="G9" s="15" t="str">
        <x:v>Crawler estadual; priorizar SP para inteligência local.</x:v>
      </x:c>
      <x:c r="H9" s="15" t="str">
        <x:v>Média</x:v>
      </x:c>
      <x:c r="I9" s="43"/>
      <x:c r="J9" s="43"/>
      <x:c r="K9" s="43"/>
      <x:c r="L9" s="43"/>
      <x:c r="M9" s="43"/>
    </x:row>
    <x:row r="10">
      <x:c r="A10" s="15" t="n">
        <x:v>9</x:v>
      </x:c>
      <x:c r="B10" s="15" t="str">
        <x:v>CKAN</x:v>
      </x:c>
      <x:c r="C10" s="15" t="str">
        <x:v>Prefeitura de São Paulo</x:v>
      </x:c>
      <x:c r="D10" s="15" t="str">
        <x:v>Prefeitura SP</x:v>
      </x:c>
      <x:c r="E10" s="15" t="str">
        <x:v>https://dados.prefeitura.sp.gov.br/</x:v>
      </x:c>
      <x:c r="F10" s="15" t="str">
        <x:v>https://dados.prefeitura.sp.gov.br/api/3/action/package_search</x:v>
      </x:c>
      <x:c r="G10" s="15" t="str">
        <x:v>Crawler municipal; alta relevância para negócios em SP.</x:v>
      </x:c>
      <x:c r="H10" s="15" t="str">
        <x:v>Alta</x:v>
      </x:c>
      <x:c r="I10" s="43"/>
      <x:c r="J10" s="43"/>
      <x:c r="K10" s="43"/>
      <x:c r="L10" s="43"/>
      <x:c r="M10" s="43"/>
    </x:row>
    <x:row r="11">
      <x:c r="A11" s="15" t="n">
        <x:v>10</x:v>
      </x:c>
      <x:c r="B11" s="15" t="str">
        <x:v>CKAN</x:v>
      </x:c>
      <x:c r="C11" s="15" t="str">
        <x:v>Prefeitura do Recife</x:v>
      </x:c>
      <x:c r="D11" s="15" t="str">
        <x:v>Prefeitura Recife</x:v>
      </x:c>
      <x:c r="E11" s="15" t="str">
        <x:v>https://dados.recife.pe.gov.br/</x:v>
      </x:c>
      <x:c r="F11" s="15" t="str">
        <x:v>https://dados.recife.pe.gov.br/api/3/action/package_search</x:v>
      </x:c>
      <x:c r="G11" s="15" t="str">
        <x:v>Crawler municipal modelo CKAN.</x:v>
      </x:c>
      <x:c r="H11" s="15" t="str">
        <x:v>Baixa</x:v>
      </x:c>
      <x:c r="I11" s="43"/>
      <x:c r="J11" s="43"/>
      <x:c r="K11" s="43"/>
      <x:c r="L11" s="43"/>
      <x:c r="M11" s="43"/>
    </x:row>
    <x:row r="12">
      <x:c r="A12" s="15" t="n">
        <x:v>11</x:v>
      </x:c>
      <x:c r="B12" s="15" t="str">
        <x:v>CKAN</x:v>
      </x:c>
      <x:c r="C12" s="15" t="str">
        <x:v>Dados Abertos RJ</x:v>
      </x:c>
      <x:c r="D12" s="15" t="str">
        <x:v>Governo RJ</x:v>
      </x:c>
      <x:c r="E12" s="15" t="str">
        <x:v>https://dadosabertos.rj.gov.br/</x:v>
      </x:c>
      <x:c r="F12" s="15" t="str">
        <x:v>https://dadosabertos.rj.gov.br/api/3/action/package_search</x:v>
      </x:c>
      <x:c r="G12" s="15" t="str">
        <x:v>Crawler estadual.</x:v>
      </x:c>
      <x:c r="H12" s="15" t="str">
        <x:v>Baixa</x:v>
      </x:c>
      <x:c r="I12" s="43"/>
      <x:c r="J12" s="43"/>
      <x:c r="K12" s="43"/>
      <x:c r="L12" s="43"/>
      <x:c r="M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</x:row>
    <x:row r="20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</x:row>
    <x:row r="202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</x:row>
    <x:row r="203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</x:row>
    <x:row r="204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</x:row>
    <x:row r="205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</x:row>
    <x:row r="206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</x:row>
    <x:row r="207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</x:row>
    <x:row r="208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</x:row>
    <x:row r="209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</x:row>
    <x:row r="210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</x:row>
    <x:row r="21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</x:row>
    <x:row r="212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</x:row>
    <x:row r="213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</x:row>
    <x:row r="214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</x:row>
    <x:row r="215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</x:row>
    <x:row r="216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</x:row>
    <x:row r="217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</x:row>
    <x:row r="218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</x:row>
    <x:row r="219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</x:row>
    <x:row r="220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</x:row>
    <x:row r="22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</x:row>
    <x:row r="222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</x:row>
    <x:row r="223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</x:row>
    <x:row r="224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</x:row>
    <x:row r="225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</x:row>
    <x:row r="226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</x:row>
    <x:row r="227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</x:row>
    <x:row r="228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</x:row>
    <x:row r="229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</x:row>
    <x:row r="230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</x:row>
    <x:row r="23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</x:row>
    <x:row r="232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</x:row>
    <x:row r="233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</x:row>
    <x:row r="234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</x:row>
    <x:row r="235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</x:row>
    <x:row r="236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</x:row>
    <x:row r="237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</x:row>
    <x:row r="238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</x:row>
    <x:row r="239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</x:row>
    <x:row r="240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</x:row>
    <x:row r="24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</x:row>
    <x:row r="242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</x:row>
    <x:row r="243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</x:row>
    <x:row r="244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</x:row>
    <x:row r="245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</x:row>
    <x:row r="246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</x:row>
    <x:row r="247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</x:row>
    <x:row r="248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</x:row>
    <x:row r="249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</x:row>
    <x:row r="250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</x:row>
    <x:row r="25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</x:row>
    <x:row r="252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</x:row>
    <x:row r="253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</x:row>
    <x:row r="254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</x:row>
    <x:row r="255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</x:row>
    <x:row r="256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</x:row>
    <x:row r="257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</x:row>
    <x:row r="258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</x:row>
    <x:row r="259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</x:row>
    <x:row r="260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</x:row>
    <x:row r="26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</x:row>
    <x:row r="262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</x:row>
    <x:row r="263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</x:row>
    <x:row r="264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</x:row>
    <x:row r="265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</x:row>
    <x:row r="266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</x:row>
    <x:row r="267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</x:row>
    <x:row r="268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</x:row>
    <x:row r="269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</x:row>
    <x:row r="270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</x:row>
    <x:row r="27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</x:row>
    <x:row r="272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</x:row>
    <x:row r="273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</x:row>
    <x:row r="274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</x:row>
    <x:row r="275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</x:row>
    <x:row r="276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</x:row>
    <x:row r="277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</x:row>
    <x:row r="278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</x:row>
    <x:row r="279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</x:row>
    <x:row r="280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</x:row>
    <x:row r="28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</x:row>
    <x:row r="282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</x:row>
    <x:row r="283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</x:row>
    <x:row r="284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</x:row>
    <x:row r="285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</x:row>
    <x:row r="286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</x:row>
    <x:row r="287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</x:row>
    <x:row r="288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</x:row>
    <x:row r="289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</x:row>
    <x:row r="290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</x:row>
    <x:row r="29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</x:row>
    <x:row r="292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</x:row>
    <x:row r="293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</x:row>
    <x:row r="294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</x:row>
    <x:row r="295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</x:row>
    <x:row r="296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</x:row>
    <x:row r="297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</x:row>
    <x:row r="298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</x:row>
    <x:row r="299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</x:row>
    <x:row r="300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</x:row>
  </x:sheetData>
  <x:pageMargins left="0.7" right="0.7" top="0.75" bottom="0.75" header="0.3" footer="0.3"/>
  <x:tableParts count="1">
    <x:tablePart xmlns:r="http://schemas.openxmlformats.org/officeDocument/2006/relationships" r:id="R6671ea2fecd443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2" hidden="0" customWidth="1"/>
    <x:col min="4" max="4" width="40" hidden="0" customWidth="1"/>
    <x:col min="5" max="5" width="16" hidden="0" customWidth="1"/>
    <x:col min="6" max="6" width="16" hidden="0" customWidth="1"/>
    <x:col min="7" max="7" width="52" hidden="0" customWidth="1"/>
  </x:cols>
  <x:sheetData>
    <x:row r="1">
      <x:c r="A1" s="14" t="str">
        <x:v>Fase</x:v>
      </x:c>
      <x:c r="B1" s="14" t="str">
        <x:v>Objetivo</x:v>
      </x:c>
      <x:c r="C1" s="14" t="str">
        <x:v>Fontes/APIs</x:v>
      </x:c>
      <x:c r="D1" s="14" t="str">
        <x:v>Entregável</x:v>
      </x:c>
      <x:c r="E1" s="14" t="str">
        <x:v>Dificuldade</x:v>
      </x:c>
      <x:c r="F1" s="14" t="str">
        <x:v>Impacto</x:v>
      </x:c>
      <x:c r="G1" s="14" t="str">
        <x:v>Observação</x:v>
      </x:c>
      <x:c r="H1" s="43"/>
      <x:c r="I1" s="43"/>
      <x:c r="J1" s="43"/>
      <x:c r="K1" s="43"/>
      <x:c r="L1" s="43"/>
      <x:c r="M1" s="43"/>
    </x:row>
    <x:row r="2">
      <x:c r="A2" s="15" t="str">
        <x:v>Fase 1</x:v>
      </x:c>
      <x:c r="B2" s="15" t="str">
        <x:v>Fundação do radar</x:v>
      </x:c>
      <x:c r="C2" s="15" t="str">
        <x:v>dados.gov.br, Conecta gov.br, CKANs principais</x:v>
      </x:c>
      <x:c r="D2" s="15" t="str">
        <x:v>Crawler de catálogo + tabela api_sources</x:v>
      </x:c>
      <x:c r="E2" s="15" t="str">
        <x:v>Média</x:v>
      </x:c>
      <x:c r="F2" s="15" t="str">
        <x:v>Muito alto</x:v>
      </x:c>
      <x:c r="G2" s="15" t="str">
        <x:v>Sem isso você não escala. É o mapa do tesouro.</x:v>
      </x:c>
      <x:c r="H2" s="43"/>
      <x:c r="I2" s="43"/>
      <x:c r="J2" s="43"/>
      <x:c r="K2" s="43"/>
      <x:c r="L2" s="43"/>
      <x:c r="M2" s="43"/>
    </x:row>
    <x:row r="3">
      <x:c r="A3" s="15" t="str">
        <x:v>Fase 2</x:v>
      </x:c>
      <x:c r="B3" s="15" t="str">
        <x:v>Empresas e oportunidades</x:v>
      </x:c>
      <x:c r="C3" s="15" t="str">
        <x:v>Receita CNPJ, PNCP, Compras.gov.br</x:v>
      </x:c>
      <x:c r="D3" s="15" t="str">
        <x:v>Banco de empresas + contratos + editais</x:v>
      </x:c>
      <x:c r="E3" s="15" t="str">
        <x:v>Alta</x:v>
      </x:c>
      <x:c r="F3" s="15" t="str">
        <x:v>Muito alto</x:v>
      </x:c>
      <x:c r="G3" s="15" t="str">
        <x:v>Núcleo comercial da plataforma.</x:v>
      </x:c>
      <x:c r="H3" s="43"/>
      <x:c r="I3" s="43"/>
      <x:c r="J3" s="43"/>
      <x:c r="K3" s="43"/>
      <x:c r="L3" s="43"/>
      <x:c r="M3" s="43"/>
    </x:row>
    <x:row r="4">
      <x:c r="A4" s="15" t="str">
        <x:v>Fase 3</x:v>
      </x:c>
      <x:c r="B4" s="15" t="str">
        <x:v>Compliance e risco</x:v>
      </x:c>
      <x:c r="C4" s="15" t="str">
        <x:v>Portal da Transparência, CEIS/CNEP, DAU/CND, DataJud</x:v>
      </x:c>
      <x:c r="D4" s="15" t="str">
        <x:v>Score de risco por CNPJ</x:v>
      </x:c>
      <x:c r="E4" s="15" t="str">
        <x:v>Alta</x:v>
      </x:c>
      <x:c r="F4" s="15" t="str">
        <x:v>Muito alto</x:v>
      </x:c>
      <x:c r="G4" s="15" t="str">
        <x:v>Cuidado forte com LGPD e termos.</x:v>
      </x:c>
      <x:c r="H4" s="43"/>
      <x:c r="I4" s="43"/>
      <x:c r="J4" s="43"/>
      <x:c r="K4" s="43"/>
      <x:c r="L4" s="43"/>
      <x:c r="M4" s="43"/>
    </x:row>
    <x:row r="5">
      <x:c r="A5" s="15" t="str">
        <x:v>Fase 4</x:v>
      </x:c>
      <x:c r="B5" s="15" t="str">
        <x:v>Contexto econômico/local</x:v>
      </x:c>
      <x:c r="C5" s="15" t="str">
        <x:v>IBGE, BCB, IPEA, municípios/estados</x:v>
      </x:c>
      <x:c r="D5" s="15" t="str">
        <x:v>Indicadores por município/CNAE/setor</x:v>
      </x:c>
      <x:c r="E5" s="15" t="str">
        <x:v>Média</x:v>
      </x:c>
      <x:c r="F5" s="15" t="str">
        <x:v>Alto</x:v>
      </x:c>
      <x:c r="G5" s="15" t="str">
        <x:v>Deixa o produto inteligente, não só coletor.</x:v>
      </x:c>
      <x:c r="H5" s="43"/>
      <x:c r="I5" s="43"/>
      <x:c r="J5" s="43"/>
      <x:c r="K5" s="43"/>
      <x:c r="L5" s="43"/>
      <x:c r="M5" s="43"/>
    </x:row>
    <x:row r="6">
      <x:c r="A6" s="15" t="str">
        <x:v>Fase 5</x:v>
      </x:c>
      <x:c r="B6" s="15" t="str">
        <x:v>Setores regulados</x:v>
      </x:c>
      <x:c r="C6" s="15" t="str">
        <x:v>ANEEL, ANP, ANATEL, ANS, IBAMA, ANA, ANTT</x:v>
      </x:c>
      <x:c r="D6" s="15" t="str">
        <x:v>Módulos setoriais</x:v>
      </x:c>
      <x:c r="E6" s="15" t="str">
        <x:v>Média</x:v>
      </x:c>
      <x:c r="F6" s="15" t="str">
        <x:v>Médio/alto</x:v>
      </x:c>
      <x:c r="G6" s="15" t="str">
        <x:v>Escolher conforme nicho pagante.</x:v>
      </x:c>
      <x:c r="H6" s="43"/>
      <x:c r="I6" s="43"/>
      <x:c r="J6" s="43"/>
      <x:c r="K6" s="43"/>
      <x:c r="L6" s="43"/>
      <x:c r="M6" s="43"/>
    </x:row>
    <x:row r="7">
      <x:c r="A7" s="15" t="str">
        <x:v>Fase 6</x:v>
      </x:c>
      <x:c r="B7" s="15" t="str">
        <x:v>Automação avançada</x:v>
      </x:c>
      <x:c r="C7" s="15" t="str">
        <x:v>Health-checks, filas, cache, alertas</x:v>
      </x:c>
      <x:c r="D7" s="15" t="str">
        <x:v>Monitor de APIs + alertas de mudança</x:v>
      </x:c>
      <x:c r="E7" s="15" t="str">
        <x:v>Alta</x:v>
      </x:c>
      <x:c r="F7" s="15" t="str">
        <x:v>Muito alto</x:v>
      </x:c>
      <x:c r="G7" s="15" t="str">
        <x:v>Governo muda schema sem avisar. Blindagem obrigatória.</x:v>
      </x:c>
      <x:c r="H7" s="43"/>
      <x:c r="I7" s="43"/>
      <x:c r="J7" s="43"/>
      <x:c r="K7" s="43"/>
      <x:c r="L7" s="43"/>
      <x:c r="M7" s="43"/>
    </x:row>
    <x:row r="8">
      <x:c r="A8" s="15" t="str">
        <x:v>Fase 7</x:v>
      </x:c>
      <x:c r="B8" s="15" t="str">
        <x:v>Produto premium</x:v>
      </x:c>
      <x:c r="C8" s="15" t="str">
        <x:v>Cruzamentos multi-fonte</x:v>
      </x:c>
      <x:c r="D8" s="15" t="str">
        <x:v>Radar de leads, concorrentes, fornecedores e licitações</x:v>
      </x:c>
      <x:c r="E8" s="15" t="str">
        <x:v>Alta</x:v>
      </x:c>
      <x:c r="F8" s="15" t="str">
        <x:v>Muito alto</x:v>
      </x:c>
      <x:c r="G8" s="15" t="str">
        <x:v>Aqui vira SaaS vendável.</x:v>
      </x:c>
      <x:c r="H8" s="43"/>
      <x:c r="I8" s="43"/>
      <x:c r="J8" s="43"/>
      <x:c r="K8" s="43"/>
      <x:c r="L8" s="43"/>
      <x:c r="M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</x:row>
    <x:row r="20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</x:row>
    <x:row r="202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</x:row>
    <x:row r="203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</x:row>
    <x:row r="204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</x:row>
    <x:row r="205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</x:row>
    <x:row r="206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</x:row>
    <x:row r="207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</x:row>
    <x:row r="208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</x:row>
    <x:row r="209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</x:row>
    <x:row r="210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</x:row>
    <x:row r="21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</x:row>
    <x:row r="212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</x:row>
    <x:row r="213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</x:row>
    <x:row r="214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</x:row>
    <x:row r="215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</x:row>
    <x:row r="216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</x:row>
    <x:row r="217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</x:row>
    <x:row r="218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</x:row>
    <x:row r="219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</x:row>
    <x:row r="220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</x:row>
    <x:row r="22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</x:row>
    <x:row r="222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</x:row>
    <x:row r="223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</x:row>
    <x:row r="224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</x:row>
    <x:row r="225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</x:row>
    <x:row r="226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</x:row>
    <x:row r="227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</x:row>
    <x:row r="228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</x:row>
    <x:row r="229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</x:row>
    <x:row r="230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</x:row>
    <x:row r="23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</x:row>
    <x:row r="232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</x:row>
    <x:row r="233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</x:row>
    <x:row r="234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</x:row>
    <x:row r="235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</x:row>
    <x:row r="236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</x:row>
    <x:row r="237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</x:row>
    <x:row r="238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</x:row>
    <x:row r="239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</x:row>
    <x:row r="240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</x:row>
    <x:row r="24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</x:row>
    <x:row r="242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</x:row>
    <x:row r="243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</x:row>
    <x:row r="244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</x:row>
    <x:row r="245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</x:row>
    <x:row r="246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</x:row>
    <x:row r="247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</x:row>
    <x:row r="248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</x:row>
    <x:row r="249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</x:row>
    <x:row r="250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</x:row>
    <x:row r="25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</x:row>
    <x:row r="252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</x:row>
    <x:row r="253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</x:row>
    <x:row r="254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</x:row>
    <x:row r="255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</x:row>
    <x:row r="256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</x:row>
    <x:row r="257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</x:row>
    <x:row r="258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</x:row>
    <x:row r="259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</x:row>
    <x:row r="260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</x:row>
    <x:row r="26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</x:row>
    <x:row r="262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</x:row>
    <x:row r="263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</x:row>
    <x:row r="264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</x:row>
    <x:row r="265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</x:row>
    <x:row r="266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</x:row>
    <x:row r="267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</x:row>
    <x:row r="268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</x:row>
    <x:row r="269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</x:row>
    <x:row r="270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</x:row>
    <x:row r="27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</x:row>
    <x:row r="272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</x:row>
    <x:row r="273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</x:row>
    <x:row r="274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</x:row>
    <x:row r="275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</x:row>
    <x:row r="276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</x:row>
    <x:row r="277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</x:row>
    <x:row r="278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</x:row>
    <x:row r="279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</x:row>
    <x:row r="280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</x:row>
    <x:row r="28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</x:row>
    <x:row r="282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</x:row>
    <x:row r="283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</x:row>
    <x:row r="284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</x:row>
    <x:row r="285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</x:row>
    <x:row r="286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</x:row>
    <x:row r="287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</x:row>
    <x:row r="288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</x:row>
    <x:row r="289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</x:row>
    <x:row r="290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</x:row>
    <x:row r="29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</x:row>
    <x:row r="292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</x:row>
    <x:row r="293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</x:row>
    <x:row r="294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</x:row>
    <x:row r="295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</x:row>
    <x:row r="296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</x:row>
    <x:row r="297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</x:row>
    <x:row r="298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</x:row>
    <x:row r="299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</x:row>
    <x:row r="300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</x:row>
  </x:sheetData>
  <x:pageMargins left="0.7" right="0.7" top="0.75" bottom="0.75" header="0.3" footer="0.3"/>
  <x:tableParts count="1">
    <x:tablePart xmlns:r="http://schemas.openxmlformats.org/officeDocument/2006/relationships" r:id="Rb2d068a298fa40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60" hidden="0" customWidth="1"/>
  </x:cols>
  <x:sheetData>
    <x:row r="1">
      <x:c r="A1" s="14" t="str">
        <x:v>Campo</x:v>
      </x:c>
      <x:c r="B1" s="14" t="str">
        <x:v>Descrição</x:v>
      </x:c>
      <x:c r="C1" s="14" t="str">
        <x:v>Valores sugeridos</x:v>
      </x:c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>
      <x:c r="A2" s="15" t="str">
        <x:v>Nível</x:v>
      </x:c>
      <x:c r="B2" s="15" t="str">
        <x:v>Esfera ou natureza da fonte</x:v>
      </x:c>
      <x:c r="C2" s="15" t="str">
        <x:v>Federal, Estadual, Municipal, Judiciário, Não oficial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>
      <x:c r="A3" s="15" t="str">
        <x:v>Categoria</x:v>
      </x:c>
      <x:c r="B3" s="15" t="str">
        <x:v>Domínio de negócio</x:v>
      </x:c>
      <x:c r="C3" s="15" t="str">
        <x:v>Catálogo, Compras públicas, Empresas/CNPJ, Transparência, Justiça, Economia etc.</x:v>
      </x:c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>
      <x:c r="A4" s="15" t="str">
        <x:v>Tipo técnico</x:v>
      </x:c>
      <x:c r="B4" s="15" t="str">
        <x:v>Forma de consumo</x:v>
      </x:c>
      <x:c r="C4" s="15" t="str">
        <x:v>REST, OData, CKAN/API, Download CSV/ZIP, SOAP, API/FHIR</x:v>
      </x:c>
      <x:c r="D4" s="43"/>
      <x:c r="E4" s="43"/>
      <x:c r="F4" s="43"/>
      <x:c r="G4" s="43"/>
      <x:c r="H4" s="43"/>
      <x:c r="I4" s="43"/>
      <x:c r="J4" s="43"/>
      <x:c r="K4" s="43"/>
      <x:c r="L4" s="43"/>
      <x:c r="M4" s="43"/>
    </x:row>
    <x:row r="5">
      <x:c r="A5" s="15" t="str">
        <x:v>Acesso</x:v>
      </x:c>
      <x:c r="B5" s="15" t="str">
        <x:v>Condição de uso</x:v>
      </x:c>
      <x:c r="C5" s="15" t="str">
        <x:v>Aberto, Token gratuito, Aberto/download, Restrito/credencial, Freemium/pago</x:v>
      </x:c>
      <x:c r="D5" s="43"/>
      <x:c r="E5" s="43"/>
      <x:c r="F5" s="43"/>
      <x:c r="G5" s="43"/>
      <x:c r="H5" s="43"/>
      <x:c r="I5" s="43"/>
      <x:c r="J5" s="43"/>
      <x:c r="K5" s="43"/>
      <x:c r="L5" s="43"/>
      <x:c r="M5" s="43"/>
    </x:row>
    <x:row r="6">
      <x:c r="A6" s="15" t="str">
        <x:v>Prioridade MVP</x:v>
      </x:c>
      <x:c r="B6" s="15" t="str">
        <x:v>Ordem de implantação</x:v>
      </x:c>
      <x:c r="C6" s="15" t="str">
        <x:v>Crítica, Alta, Média, Baixa</x:v>
      </x:c>
      <x:c r="D6" s="43"/>
      <x:c r="E6" s="43"/>
      <x:c r="F6" s="43"/>
      <x:c r="G6" s="43"/>
      <x:c r="H6" s="43"/>
      <x:c r="I6" s="43"/>
      <x:c r="J6" s="43"/>
      <x:c r="K6" s="43"/>
      <x:c r="L6" s="43"/>
      <x:c r="M6" s="43"/>
    </x:row>
    <x:row r="7">
      <x:c r="A7" s="15" t="str">
        <x:v>Status integração</x:v>
      </x:c>
      <x:c r="B7" s="15" t="str">
        <x:v>Estado interno do seu produto</x:v>
      </x:c>
      <x:c r="C7" s="15" t="str">
        <x:v>Backlog, Validar acesso, Pronto para MVP, Em integração, Integrado, Bloqueado</x:v>
      </x:c>
      <x:c r="D7" s="43"/>
      <x:c r="E7" s="43"/>
      <x:c r="F7" s="43"/>
      <x:c r="G7" s="43"/>
      <x:c r="H7" s="43"/>
      <x:c r="I7" s="43"/>
      <x:c r="J7" s="43"/>
      <x:c r="K7" s="43"/>
      <x:c r="L7" s="43"/>
      <x:c r="M7" s="43"/>
    </x:row>
    <x:row r="8">
      <x:c r="A8" s="15" t="str">
        <x:v>LGPD</x:v>
      </x:c>
      <x:c r="B8" s="15" t="str">
        <x:v>Regra de ouro</x:v>
      </x:c>
      <x:c r="C8" s="15" t="str">
        <x:v>Dado público não significa uso livre e irrestrito. Trate CPF, saúde, CNH, judicial e assistência social como zona de alto risco.</x:v>
      </x:c>
      <x:c r="D8" s="43"/>
      <x:c r="E8" s="43"/>
      <x:c r="F8" s="43"/>
      <x:c r="G8" s="43"/>
      <x:c r="H8" s="43"/>
      <x:c r="I8" s="43"/>
      <x:c r="J8" s="43"/>
      <x:c r="K8" s="43"/>
      <x:c r="L8" s="43"/>
      <x:c r="M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</x:row>
    <x:row r="20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</x:row>
    <x:row r="202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</x:row>
    <x:row r="203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</x:row>
    <x:row r="204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</x:row>
    <x:row r="205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</x:row>
    <x:row r="206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</x:row>
    <x:row r="207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</x:row>
    <x:row r="208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</x:row>
    <x:row r="209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</x:row>
    <x:row r="210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</x:row>
    <x:row r="21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</x:row>
    <x:row r="212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</x:row>
    <x:row r="213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</x:row>
    <x:row r="214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</x:row>
    <x:row r="215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</x:row>
    <x:row r="216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</x:row>
    <x:row r="217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</x:row>
    <x:row r="218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</x:row>
    <x:row r="219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</x:row>
    <x:row r="220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</x:row>
    <x:row r="22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</x:row>
    <x:row r="222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</x:row>
    <x:row r="223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</x:row>
    <x:row r="224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</x:row>
    <x:row r="225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</x:row>
    <x:row r="226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</x:row>
    <x:row r="227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</x:row>
    <x:row r="228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</x:row>
    <x:row r="229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</x:row>
    <x:row r="230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</x:row>
    <x:row r="23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</x:row>
    <x:row r="232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</x:row>
    <x:row r="233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</x:row>
    <x:row r="234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</x:row>
    <x:row r="235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</x:row>
    <x:row r="236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</x:row>
    <x:row r="237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</x:row>
    <x:row r="238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</x:row>
    <x:row r="239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</x:row>
    <x:row r="240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</x:row>
    <x:row r="24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</x:row>
    <x:row r="242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</x:row>
    <x:row r="243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</x:row>
    <x:row r="244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</x:row>
    <x:row r="245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</x:row>
    <x:row r="246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</x:row>
    <x:row r="247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</x:row>
    <x:row r="248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</x:row>
    <x:row r="249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</x:row>
    <x:row r="250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</x:row>
    <x:row r="25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</x:row>
    <x:row r="252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</x:row>
    <x:row r="253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</x:row>
    <x:row r="254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</x:row>
    <x:row r="255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</x:row>
    <x:row r="256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</x:row>
    <x:row r="257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</x:row>
    <x:row r="258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</x:row>
    <x:row r="259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</x:row>
    <x:row r="260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</x:row>
    <x:row r="26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</x:row>
    <x:row r="262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</x:row>
    <x:row r="263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</x:row>
    <x:row r="264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</x:row>
    <x:row r="265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</x:row>
    <x:row r="266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</x:row>
    <x:row r="267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</x:row>
    <x:row r="268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</x:row>
    <x:row r="269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</x:row>
    <x:row r="270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</x:row>
    <x:row r="27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</x:row>
    <x:row r="272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</x:row>
    <x:row r="273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</x:row>
    <x:row r="274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</x:row>
    <x:row r="275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</x:row>
    <x:row r="276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</x:row>
    <x:row r="277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</x:row>
    <x:row r="278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</x:row>
    <x:row r="279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</x:row>
    <x:row r="280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</x:row>
    <x:row r="28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</x:row>
    <x:row r="282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</x:row>
    <x:row r="283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</x:row>
    <x:row r="284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</x:row>
    <x:row r="285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</x:row>
    <x:row r="286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</x:row>
    <x:row r="287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</x:row>
    <x:row r="288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</x:row>
    <x:row r="289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</x:row>
    <x:row r="290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</x:row>
    <x:row r="29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</x:row>
    <x:row r="292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</x:row>
    <x:row r="293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</x:row>
    <x:row r="294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</x:row>
    <x:row r="295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</x:row>
    <x:row r="296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</x:row>
    <x:row r="297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</x:row>
    <x:row r="298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</x:row>
    <x:row r="299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</x:row>
    <x:row r="300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</x:row>
  </x:sheetData>
  <x:pageMargins left="0.7" right="0.7" top="0.75" bottom="0.75" header="0.3" footer="0.3"/>
  <x:tableParts count="1">
    <x:tablePart xmlns:r="http://schemas.openxmlformats.org/officeDocument/2006/relationships" r:id="Rc90adcbf60144a03"/>
  </x:tableParts>
</x:worksheet>
</file>